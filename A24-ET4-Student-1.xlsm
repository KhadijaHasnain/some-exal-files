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marcoarcidiacono/Downloads/"/>
    </mc:Choice>
  </mc:AlternateContent>
  <xr:revisionPtr revIDLastSave="0" documentId="13_ncr:1_{E0CEE59F-0F0B-8643-9ED5-0680654D3427}" xr6:coauthVersionLast="47" xr6:coauthVersionMax="47" xr10:uidLastSave="{00000000-0000-0000-0000-000000000000}"/>
  <workbookProtection workbookAlgorithmName="SHA-512" workbookHashValue="7dChvMTVZWu6R4d5FFYpu81f4pYVa0ZzSI1xzICqe9wJ4qqcco09RC81BA0WlRs62yiWllrDi8cDC5mOcT8MPA==" workbookSaltValue="haBm1qnPV/IR0BIJlVVQUw==" workbookSpinCount="100000" lockStructure="1"/>
  <bookViews>
    <workbookView xWindow="0" yWindow="500" windowWidth="28800" windowHeight="15800" activeTab="2" xr2:uid="{00000000-000D-0000-FFFF-FFFF00000000}"/>
  </bookViews>
  <sheets>
    <sheet name="Title page" sheetId="11" r:id="rId1"/>
    <sheet name="eTask 4.1" sheetId="39" r:id="rId2"/>
    <sheet name="eTask 4.2" sheetId="42" r:id="rId3"/>
    <sheet name="eTask 1.2-Testing" sheetId="44" state="hidden" r:id="rId4"/>
  </sheets>
  <functionGroups builtInGroupCount="19"/>
  <definedNames>
    <definedName name="_xlnm._FilterDatabase" localSheetId="3" hidden="1">'eTask 1.2-Testing'!$A$3:$P$233</definedName>
    <definedName name="a">#REF!</definedName>
    <definedName name="aa">#REF!</definedName>
    <definedName name="b">#REF!</definedName>
    <definedName name="bb">#REF!</definedName>
    <definedName name="cc">#REF!</definedName>
    <definedName name="G_Name">'Title page'!$F$3</definedName>
    <definedName name="h">#REF!</definedName>
    <definedName name="ParametersQ2kl">#REF!</definedName>
    <definedName name="PP">#REF!</definedName>
    <definedName name="S_Id">'Title page'!$F$4</definedName>
    <definedName name="Signskl">#REF!</definedName>
    <definedName name="Unitskl">#REF!</definedName>
    <definedName name="w">#REF!</definedName>
    <definedName name="ww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8" i="42" l="1"/>
  <c r="AH13" i="42" l="1"/>
  <c r="AC13" i="42"/>
  <c r="AH12" i="42"/>
  <c r="AH11" i="42"/>
  <c r="AH10" i="42"/>
  <c r="AH9" i="42"/>
  <c r="AH8" i="42"/>
  <c r="AH7" i="42"/>
  <c r="AH6" i="42"/>
  <c r="AC13" i="39" l="1"/>
  <c r="AH13" i="39"/>
  <c r="AH12" i="39"/>
  <c r="AH11" i="39"/>
  <c r="AH10" i="39"/>
  <c r="AH9" i="39"/>
  <c r="AH8" i="39"/>
  <c r="AH7" i="39"/>
  <c r="AH6" i="39"/>
  <c r="AE6" i="42"/>
  <c r="AE11" i="42"/>
  <c r="AE8" i="42"/>
  <c r="AE12" i="42"/>
  <c r="AE9" i="42"/>
  <c r="AE7" i="42"/>
  <c r="AE10" i="42"/>
  <c r="AE10" i="39"/>
  <c r="AE9" i="39"/>
  <c r="AE12" i="39"/>
  <c r="AE6" i="39"/>
  <c r="AE7" i="39"/>
  <c r="AE11" i="39"/>
  <c r="AE8" i="39"/>
  <c r="AC8" i="39" l="1"/>
  <c r="AC6" i="39"/>
  <c r="AC11" i="39"/>
  <c r="AC12" i="39"/>
  <c r="AC10" i="39"/>
  <c r="AC7" i="39"/>
  <c r="AC9" i="39"/>
  <c r="AC12" i="42"/>
  <c r="AC7" i="42"/>
  <c r="AC8" i="42"/>
  <c r="AC10" i="42"/>
  <c r="AC11" i="42"/>
  <c r="AC9" i="42"/>
  <c r="AC6" i="42"/>
  <c r="C1" i="39" l="1"/>
  <c r="AN23" i="42"/>
  <c r="AM23" i="42"/>
  <c r="AL23" i="42"/>
  <c r="AK23" i="42"/>
  <c r="AJ23" i="42"/>
  <c r="AI23" i="42"/>
  <c r="AH23" i="42"/>
  <c r="AG23" i="42"/>
  <c r="AF23" i="42"/>
  <c r="AE23" i="42"/>
  <c r="AC23" i="42"/>
  <c r="AN22" i="42"/>
  <c r="AM22" i="42"/>
  <c r="AL22" i="42"/>
  <c r="AN21" i="42"/>
  <c r="AM21" i="42"/>
  <c r="AL21" i="42"/>
  <c r="C18" i="39" l="1"/>
  <c r="C11" i="39"/>
  <c r="C17" i="39"/>
  <c r="C12" i="39"/>
  <c r="C10" i="39"/>
  <c r="C15" i="39"/>
  <c r="C13" i="39"/>
  <c r="C14" i="39"/>
  <c r="AD23" i="42"/>
  <c r="AB23" i="42" l="1"/>
  <c r="C1" i="42" l="1"/>
  <c r="T8" i="44"/>
  <c r="U8" i="44"/>
  <c r="V8" i="44"/>
  <c r="W8" i="44"/>
  <c r="X8" i="44"/>
  <c r="X13" i="44"/>
  <c r="W13" i="44"/>
  <c r="V13" i="44"/>
  <c r="U13" i="44"/>
  <c r="T13" i="44"/>
  <c r="S13" i="44"/>
  <c r="R13" i="44"/>
  <c r="X12" i="44"/>
  <c r="W12" i="44"/>
  <c r="V12" i="44"/>
  <c r="U12" i="44"/>
  <c r="T12" i="44"/>
  <c r="S12" i="44"/>
  <c r="X11" i="44"/>
  <c r="W11" i="44"/>
  <c r="V11" i="44"/>
  <c r="U11" i="44"/>
  <c r="T11" i="44"/>
  <c r="X10" i="44"/>
  <c r="W10" i="44"/>
  <c r="V10" i="44"/>
  <c r="U10" i="44"/>
  <c r="T10" i="44"/>
  <c r="S10" i="44"/>
  <c r="X9" i="44"/>
  <c r="W9" i="44"/>
  <c r="V9" i="44"/>
  <c r="U9" i="44"/>
  <c r="T9" i="44"/>
  <c r="S9" i="44"/>
  <c r="S8" i="44"/>
  <c r="X7" i="44"/>
  <c r="W7" i="44"/>
  <c r="V7" i="44"/>
  <c r="U7" i="44"/>
  <c r="T7" i="44"/>
  <c r="S7" i="44"/>
  <c r="R7" i="44"/>
  <c r="X6" i="44"/>
  <c r="W6" i="44"/>
  <c r="V6" i="44"/>
  <c r="U6" i="44"/>
  <c r="T6" i="44"/>
  <c r="S6" i="44"/>
  <c r="R6" i="44"/>
  <c r="E27" i="39"/>
  <c r="E38" i="11"/>
  <c r="S11" i="44"/>
  <c r="C18" i="42" l="1"/>
  <c r="C13" i="42"/>
  <c r="C10" i="42"/>
  <c r="C17" i="42"/>
  <c r="C12" i="42"/>
  <c r="C15" i="42"/>
  <c r="C11" i="42"/>
  <c r="C14" i="42"/>
  <c r="R10" i="44"/>
  <c r="R9" i="44"/>
  <c r="R8" i="44"/>
  <c r="R11" i="44" l="1"/>
  <c r="R12" i="44"/>
  <c r="J109" i="44"/>
  <c r="J203" i="44"/>
  <c r="J86" i="44"/>
  <c r="J44" i="44"/>
  <c r="J215" i="44"/>
  <c r="J202" i="44"/>
  <c r="J208" i="44"/>
  <c r="J125" i="44"/>
  <c r="J65" i="44"/>
  <c r="J89" i="44"/>
  <c r="J101" i="44"/>
  <c r="J8" i="44"/>
  <c r="J221" i="44"/>
  <c r="J50" i="44"/>
  <c r="J159" i="44"/>
  <c r="J107" i="44"/>
  <c r="J160" i="44"/>
  <c r="J69" i="44"/>
  <c r="J158" i="44"/>
  <c r="J150" i="44"/>
  <c r="J230" i="44"/>
  <c r="J91" i="44"/>
  <c r="J62" i="44"/>
  <c r="J11" i="44"/>
  <c r="J92" i="44"/>
  <c r="J173" i="44"/>
  <c r="J229" i="44"/>
  <c r="J61" i="44"/>
  <c r="J118" i="44"/>
  <c r="J222" i="44"/>
  <c r="J153" i="44"/>
  <c r="J127" i="44"/>
  <c r="J112" i="44"/>
  <c r="J184" i="44"/>
  <c r="J211" i="44"/>
  <c r="J9" i="44"/>
  <c r="J131" i="44"/>
  <c r="J225" i="44"/>
  <c r="J177" i="44"/>
  <c r="J190" i="44"/>
  <c r="J24" i="44"/>
  <c r="J196" i="44"/>
  <c r="J39" i="44"/>
  <c r="J26" i="44"/>
  <c r="J181" i="44"/>
  <c r="J132" i="44"/>
  <c r="J128" i="44"/>
  <c r="J75" i="44"/>
  <c r="J187" i="44"/>
  <c r="J83" i="44"/>
  <c r="J97" i="44"/>
  <c r="J209" i="44"/>
  <c r="J108" i="44"/>
  <c r="J148" i="44"/>
  <c r="J136" i="44"/>
  <c r="J126" i="44"/>
  <c r="J72" i="44"/>
  <c r="J180" i="44"/>
  <c r="J217" i="44"/>
  <c r="J27" i="44"/>
  <c r="J124" i="44"/>
  <c r="J166" i="44"/>
  <c r="J175" i="44"/>
  <c r="J71" i="44"/>
  <c r="J6" i="44"/>
  <c r="J47" i="44"/>
  <c r="J5" i="44"/>
  <c r="J178" i="44"/>
  <c r="J171" i="44"/>
  <c r="J141" i="44"/>
  <c r="J13" i="44"/>
  <c r="J164" i="44"/>
  <c r="J218" i="44"/>
  <c r="J129" i="44"/>
  <c r="J130" i="44"/>
  <c r="J138" i="44"/>
  <c r="J186" i="44"/>
  <c r="J113" i="44"/>
  <c r="J94" i="44"/>
  <c r="J142" i="44"/>
  <c r="J80" i="44"/>
  <c r="J52" i="44"/>
  <c r="J134" i="44"/>
  <c r="J200" i="44"/>
  <c r="J157" i="44"/>
  <c r="J140" i="44"/>
  <c r="J110" i="44"/>
  <c r="J100" i="44"/>
  <c r="J17" i="44"/>
  <c r="J59" i="44"/>
  <c r="J37" i="44"/>
  <c r="J204" i="44"/>
  <c r="J103" i="44"/>
  <c r="J85" i="44"/>
  <c r="J55" i="44"/>
  <c r="J219" i="44"/>
  <c r="J169" i="44"/>
  <c r="J165" i="44"/>
  <c r="J41" i="44"/>
  <c r="J88" i="44"/>
  <c r="J195" i="44"/>
  <c r="J122" i="44"/>
  <c r="J188" i="44"/>
  <c r="J185" i="44"/>
  <c r="J149" i="44"/>
  <c r="J35" i="44"/>
  <c r="J16" i="44"/>
  <c r="J84" i="44"/>
  <c r="J145" i="44"/>
  <c r="J137" i="44"/>
  <c r="J40" i="44"/>
  <c r="J93" i="44"/>
  <c r="J154" i="44"/>
  <c r="J194" i="44"/>
  <c r="J21" i="44"/>
  <c r="J87" i="44"/>
  <c r="J115" i="44"/>
  <c r="J135" i="44"/>
  <c r="J20" i="44"/>
  <c r="J216" i="44"/>
  <c r="J206" i="44"/>
  <c r="J193" i="44"/>
  <c r="J22" i="44"/>
  <c r="J54" i="44"/>
  <c r="J82" i="44"/>
  <c r="J43" i="44"/>
  <c r="J139" i="44"/>
  <c r="J32" i="44"/>
  <c r="J144" i="44"/>
  <c r="J29" i="44"/>
  <c r="J191" i="44"/>
  <c r="J46" i="44"/>
  <c r="J78" i="44"/>
  <c r="J198" i="44"/>
  <c r="J79" i="44"/>
  <c r="J81" i="44"/>
  <c r="J96" i="44"/>
  <c r="J224" i="44"/>
  <c r="J90" i="44"/>
  <c r="J58" i="44"/>
  <c r="J214" i="44"/>
  <c r="J117" i="44"/>
  <c r="J170" i="44"/>
  <c r="J10" i="44"/>
  <c r="J210" i="44"/>
  <c r="J99" i="44"/>
  <c r="J205" i="44"/>
  <c r="J156" i="44"/>
  <c r="J105" i="44"/>
  <c r="J53" i="44"/>
  <c r="J147" i="44"/>
  <c r="J57" i="44"/>
  <c r="J121" i="44"/>
  <c r="J213" i="44"/>
  <c r="J151" i="44"/>
  <c r="J168" i="44"/>
  <c r="J7" i="44"/>
  <c r="J73" i="44"/>
  <c r="J31" i="44"/>
  <c r="J70" i="44"/>
  <c r="J227" i="44"/>
  <c r="J231" i="44"/>
  <c r="J38" i="44"/>
  <c r="J95" i="44"/>
  <c r="J189" i="44"/>
  <c r="J68" i="44"/>
  <c r="J163" i="44"/>
  <c r="J18" i="44"/>
  <c r="J74" i="44"/>
  <c r="J179" i="44"/>
  <c r="J67" i="44"/>
  <c r="J106" i="44"/>
  <c r="J161" i="44"/>
  <c r="J33" i="44"/>
  <c r="J19" i="44"/>
  <c r="J116" i="44"/>
  <c r="J77" i="44"/>
  <c r="J28" i="44"/>
  <c r="J48" i="44"/>
  <c r="J42" i="44"/>
  <c r="J111" i="44"/>
  <c r="J174" i="44"/>
  <c r="J123" i="44"/>
  <c r="J51" i="44"/>
  <c r="J143" i="44"/>
  <c r="J76" i="44"/>
  <c r="J183" i="44"/>
  <c r="J63" i="44"/>
  <c r="J220" i="44"/>
  <c r="J119" i="44"/>
  <c r="J201" i="44"/>
  <c r="J34" i="44"/>
  <c r="J199" i="44"/>
  <c r="J155" i="44"/>
  <c r="J232" i="44"/>
  <c r="J162" i="44"/>
  <c r="J207" i="44"/>
  <c r="J104" i="44"/>
  <c r="J146" i="44"/>
  <c r="J192" i="44"/>
  <c r="J120" i="44"/>
  <c r="J98" i="44"/>
  <c r="J228" i="44"/>
  <c r="J64" i="44"/>
  <c r="J212" i="44"/>
  <c r="J133" i="44"/>
  <c r="J12" i="44"/>
  <c r="J226" i="44"/>
  <c r="J14" i="44"/>
  <c r="J45" i="44"/>
  <c r="J102" i="44"/>
  <c r="J49" i="44"/>
  <c r="J233" i="44"/>
  <c r="J167" i="44"/>
  <c r="J25" i="44"/>
  <c r="J66" i="44"/>
  <c r="J152" i="44"/>
  <c r="J172" i="44"/>
  <c r="J182" i="44"/>
  <c r="J197" i="44"/>
  <c r="J23" i="44"/>
  <c r="J36" i="44"/>
  <c r="J15" i="44"/>
  <c r="J60" i="44"/>
  <c r="J176" i="44"/>
  <c r="J223" i="44"/>
  <c r="J4" i="44"/>
  <c r="J114" i="44"/>
  <c r="J56" i="44"/>
  <c r="J30" i="44"/>
  <c r="H215" i="44"/>
  <c r="I72" i="44"/>
  <c r="I49" i="44"/>
  <c r="H202" i="44"/>
  <c r="I233" i="44"/>
  <c r="F57" i="44"/>
  <c r="H69" i="44"/>
  <c r="I112" i="44"/>
  <c r="H31" i="44"/>
  <c r="I194" i="44"/>
  <c r="H46" i="44"/>
  <c r="H203" i="44"/>
  <c r="I77" i="44"/>
  <c r="I6" i="44"/>
  <c r="F44" i="44"/>
  <c r="I66" i="44"/>
  <c r="H206" i="44"/>
  <c r="H170" i="44"/>
  <c r="F41" i="44"/>
  <c r="F79" i="44"/>
  <c r="I107" i="44"/>
  <c r="H180" i="44"/>
  <c r="H101" i="44"/>
  <c r="F174" i="44"/>
  <c r="H55" i="44"/>
  <c r="F46" i="44"/>
  <c r="H66" i="44"/>
  <c r="H150" i="44"/>
  <c r="H28" i="44"/>
  <c r="F220" i="44"/>
  <c r="H179" i="44"/>
  <c r="F40" i="44"/>
  <c r="F106" i="44"/>
  <c r="H50" i="44"/>
  <c r="H141" i="44"/>
  <c r="I227" i="44"/>
  <c r="I36" i="44"/>
  <c r="H224" i="44"/>
  <c r="H88" i="44"/>
  <c r="F139" i="44"/>
  <c r="F168" i="44"/>
  <c r="F228" i="44"/>
  <c r="F151" i="44"/>
  <c r="I131" i="44"/>
  <c r="I65" i="44"/>
  <c r="I163" i="44"/>
  <c r="I42" i="44"/>
  <c r="H168" i="44"/>
  <c r="F67" i="44"/>
  <c r="F66" i="44"/>
  <c r="I184" i="44"/>
  <c r="I73" i="44"/>
  <c r="F93" i="44"/>
  <c r="H189" i="44"/>
  <c r="I225" i="44"/>
  <c r="F127" i="44"/>
  <c r="F146" i="44"/>
  <c r="I81" i="44"/>
  <c r="H139" i="44"/>
  <c r="I109" i="44"/>
  <c r="H106" i="44"/>
  <c r="F186" i="44"/>
  <c r="F173" i="44"/>
  <c r="H143" i="44"/>
  <c r="H85" i="44"/>
  <c r="I88" i="44"/>
  <c r="H207" i="44"/>
  <c r="H152" i="44"/>
  <c r="H127" i="44"/>
  <c r="F170" i="44"/>
  <c r="H184" i="44"/>
  <c r="H63" i="44"/>
  <c r="F122" i="44"/>
  <c r="H45" i="44"/>
  <c r="I82" i="44"/>
  <c r="H79" i="44"/>
  <c r="F103" i="44"/>
  <c r="H140" i="44"/>
  <c r="H64" i="44"/>
  <c r="F63" i="44"/>
  <c r="F102" i="44"/>
  <c r="H80" i="44"/>
  <c r="F47" i="44"/>
  <c r="I135" i="44"/>
  <c r="F148" i="44"/>
  <c r="F123" i="44"/>
  <c r="I205" i="44"/>
  <c r="I74" i="44"/>
  <c r="F184" i="44"/>
  <c r="H201" i="44"/>
  <c r="F91" i="44"/>
  <c r="I152" i="44"/>
  <c r="F143" i="44"/>
  <c r="F150" i="44"/>
  <c r="I46" i="44"/>
  <c r="H163" i="44"/>
  <c r="F183" i="44"/>
  <c r="F71" i="44"/>
  <c r="F89" i="44"/>
  <c r="I219" i="44"/>
  <c r="F224" i="44"/>
  <c r="H197" i="44"/>
  <c r="H65" i="44"/>
  <c r="F81" i="44"/>
  <c r="I78" i="44"/>
  <c r="H165" i="44"/>
  <c r="F51" i="44"/>
  <c r="H226" i="44"/>
  <c r="H124" i="44"/>
  <c r="H177" i="44"/>
  <c r="F116" i="44"/>
  <c r="F142" i="44"/>
  <c r="F54" i="44"/>
  <c r="I93" i="44"/>
  <c r="F230" i="44"/>
  <c r="H62" i="44"/>
  <c r="H208" i="44"/>
  <c r="F215" i="44"/>
  <c r="F206" i="44"/>
  <c r="H108" i="44"/>
  <c r="H151" i="44"/>
  <c r="F52" i="44"/>
  <c r="F154" i="44"/>
  <c r="H148" i="44"/>
  <c r="F50" i="44"/>
  <c r="F101" i="44"/>
  <c r="F125" i="44"/>
  <c r="I16" i="44"/>
  <c r="I160" i="44"/>
  <c r="H195" i="44"/>
  <c r="I8" i="44"/>
  <c r="H228" i="44"/>
  <c r="H16" i="44"/>
  <c r="I183" i="44"/>
  <c r="F53" i="44"/>
  <c r="F195" i="44"/>
  <c r="F95" i="44"/>
  <c r="H21" i="44"/>
  <c r="I95" i="44"/>
  <c r="F86" i="44"/>
  <c r="H122" i="44"/>
  <c r="I126" i="44"/>
  <c r="I92" i="44"/>
  <c r="I64" i="44"/>
  <c r="I229" i="44"/>
  <c r="I37" i="44"/>
  <c r="H104" i="44"/>
  <c r="I175" i="44"/>
  <c r="F58" i="44"/>
  <c r="I210" i="44"/>
  <c r="I176" i="44"/>
  <c r="I62" i="44"/>
  <c r="F45" i="44"/>
  <c r="I84" i="44"/>
  <c r="H38" i="44"/>
  <c r="H73" i="44"/>
  <c r="I35" i="44"/>
  <c r="F77" i="44"/>
  <c r="F99" i="44"/>
  <c r="H153" i="44"/>
  <c r="I40" i="44"/>
  <c r="I133" i="44"/>
  <c r="H23" i="44"/>
  <c r="H113" i="44"/>
  <c r="F207" i="44"/>
  <c r="F223" i="44"/>
  <c r="F163" i="44"/>
  <c r="F27" i="44"/>
  <c r="I125" i="44"/>
  <c r="I147" i="44"/>
  <c r="H67" i="44"/>
  <c r="F87" i="44"/>
  <c r="H36" i="44"/>
  <c r="H56" i="44"/>
  <c r="I203" i="44"/>
  <c r="H198" i="44"/>
  <c r="F29" i="44"/>
  <c r="H134" i="44"/>
  <c r="H188" i="44"/>
  <c r="F155" i="44"/>
  <c r="F164" i="44"/>
  <c r="I223" i="44"/>
  <c r="H77" i="44"/>
  <c r="F191" i="44"/>
  <c r="I153" i="44"/>
  <c r="H70" i="44"/>
  <c r="H117" i="44"/>
  <c r="F15" i="44"/>
  <c r="I231" i="44"/>
  <c r="F152" i="44"/>
  <c r="F32" i="44"/>
  <c r="F132" i="44"/>
  <c r="F25" i="44"/>
  <c r="I101" i="44"/>
  <c r="I116" i="44"/>
  <c r="I191" i="44"/>
  <c r="F166" i="44"/>
  <c r="F111" i="44"/>
  <c r="F100" i="44"/>
  <c r="F227" i="44"/>
  <c r="H103" i="44"/>
  <c r="I98" i="44"/>
  <c r="H83" i="44"/>
  <c r="F117" i="44"/>
  <c r="I105" i="44"/>
  <c r="I165" i="44"/>
  <c r="I17" i="44"/>
  <c r="H160" i="44"/>
  <c r="H185" i="44"/>
  <c r="I154" i="44"/>
  <c r="I216" i="44"/>
  <c r="F74" i="44"/>
  <c r="I28" i="44"/>
  <c r="H29" i="44"/>
  <c r="H161" i="44"/>
  <c r="F185" i="44"/>
  <c r="F72" i="44"/>
  <c r="F218" i="44"/>
  <c r="F35" i="44"/>
  <c r="F84" i="44"/>
  <c r="H183" i="44"/>
  <c r="I206" i="44"/>
  <c r="F96" i="44"/>
  <c r="F14" i="44"/>
  <c r="I138" i="44"/>
  <c r="H68" i="44"/>
  <c r="F141" i="44"/>
  <c r="F202" i="44"/>
  <c r="I12" i="44"/>
  <c r="H42" i="44"/>
  <c r="I145" i="44"/>
  <c r="F205" i="44"/>
  <c r="I57" i="44"/>
  <c r="I90" i="44"/>
  <c r="F177" i="44"/>
  <c r="F212" i="44"/>
  <c r="H76" i="44"/>
  <c r="I151" i="44"/>
  <c r="I68" i="44"/>
  <c r="I53" i="44"/>
  <c r="H171" i="44"/>
  <c r="I134" i="44"/>
  <c r="I89" i="44"/>
  <c r="H181" i="44"/>
  <c r="I24" i="44"/>
  <c r="F178" i="44"/>
  <c r="I85" i="44"/>
  <c r="F219" i="44"/>
  <c r="I33" i="44"/>
  <c r="H27" i="44"/>
  <c r="H173" i="44"/>
  <c r="I174" i="44"/>
  <c r="F138" i="44"/>
  <c r="F7" i="44"/>
  <c r="I23" i="44"/>
  <c r="H96" i="44"/>
  <c r="I5" i="44"/>
  <c r="I48" i="44"/>
  <c r="I27" i="44"/>
  <c r="I11" i="44"/>
  <c r="F181" i="44"/>
  <c r="F175" i="44"/>
  <c r="H48" i="44"/>
  <c r="F182" i="44"/>
  <c r="F20" i="44"/>
  <c r="F134" i="44"/>
  <c r="H107" i="44"/>
  <c r="I179" i="44"/>
  <c r="H92" i="44"/>
  <c r="I51" i="44"/>
  <c r="F42" i="44"/>
  <c r="I199" i="44"/>
  <c r="I226" i="44"/>
  <c r="I171" i="44"/>
  <c r="I103" i="44"/>
  <c r="F226" i="44"/>
  <c r="F222" i="44"/>
  <c r="F144" i="44"/>
  <c r="F113" i="44"/>
  <c r="H231" i="44"/>
  <c r="I44" i="44"/>
  <c r="H232" i="44"/>
  <c r="H196" i="44"/>
  <c r="I137" i="44"/>
  <c r="I142" i="44"/>
  <c r="H59" i="44"/>
  <c r="F60" i="44"/>
  <c r="H166" i="44"/>
  <c r="H99" i="44"/>
  <c r="I102" i="44"/>
  <c r="I39" i="44"/>
  <c r="H156" i="44"/>
  <c r="H5" i="44"/>
  <c r="F176" i="44"/>
  <c r="I168" i="44"/>
  <c r="I161" i="44"/>
  <c r="F19" i="44"/>
  <c r="I200" i="44"/>
  <c r="F128" i="44"/>
  <c r="H6" i="44"/>
  <c r="F64" i="44"/>
  <c r="I148" i="44"/>
  <c r="I115" i="44"/>
  <c r="F97" i="44"/>
  <c r="I18" i="44"/>
  <c r="I94" i="44"/>
  <c r="I144" i="44"/>
  <c r="I181" i="44"/>
  <c r="I9" i="44"/>
  <c r="I30" i="44"/>
  <c r="I167" i="44"/>
  <c r="H25" i="44"/>
  <c r="F200" i="44"/>
  <c r="H4" i="44"/>
  <c r="I180" i="44"/>
  <c r="F112" i="44"/>
  <c r="H18" i="44"/>
  <c r="F136" i="44"/>
  <c r="I47" i="44"/>
  <c r="H17" i="44"/>
  <c r="F98" i="44"/>
  <c r="H130" i="44"/>
  <c r="I41" i="44"/>
  <c r="H211" i="44"/>
  <c r="I52" i="44"/>
  <c r="H212" i="44"/>
  <c r="F92" i="44"/>
  <c r="H199" i="44"/>
  <c r="H52" i="44"/>
  <c r="H136" i="44"/>
  <c r="I215" i="44"/>
  <c r="I188" i="44"/>
  <c r="H205" i="44"/>
  <c r="I170" i="44"/>
  <c r="F28" i="44"/>
  <c r="F94" i="44"/>
  <c r="F158" i="44"/>
  <c r="H178" i="44"/>
  <c r="F62" i="44"/>
  <c r="I192" i="44"/>
  <c r="F39" i="44"/>
  <c r="I19" i="44"/>
  <c r="I129" i="44"/>
  <c r="I106" i="44"/>
  <c r="H227" i="44"/>
  <c r="F12" i="44"/>
  <c r="I124" i="44"/>
  <c r="F162" i="44"/>
  <c r="I69" i="44"/>
  <c r="H109" i="44"/>
  <c r="F120" i="44"/>
  <c r="I136" i="44"/>
  <c r="F16" i="44"/>
  <c r="F171" i="44"/>
  <c r="F114" i="44"/>
  <c r="I162" i="44"/>
  <c r="H115" i="44"/>
  <c r="I31" i="44"/>
  <c r="I155" i="44"/>
  <c r="I197" i="44"/>
  <c r="H53" i="44"/>
  <c r="H147" i="44"/>
  <c r="H9" i="44"/>
  <c r="H186" i="44"/>
  <c r="H230" i="44"/>
  <c r="F61" i="44"/>
  <c r="F217" i="44"/>
  <c r="H158" i="44"/>
  <c r="I21" i="44"/>
  <c r="H192" i="44"/>
  <c r="H187" i="44"/>
  <c r="H210" i="44"/>
  <c r="H167" i="44"/>
  <c r="I156" i="44"/>
  <c r="I96" i="44"/>
  <c r="H221" i="44"/>
  <c r="H133" i="44"/>
  <c r="I34" i="44"/>
  <c r="F6" i="44"/>
  <c r="I61" i="44"/>
  <c r="I120" i="44"/>
  <c r="F131" i="44"/>
  <c r="I217" i="44"/>
  <c r="I99" i="44"/>
  <c r="H35" i="44"/>
  <c r="I26" i="44"/>
  <c r="H172" i="44"/>
  <c r="H93" i="44"/>
  <c r="F216" i="44"/>
  <c r="I196" i="44"/>
  <c r="F126" i="44"/>
  <c r="H34" i="44"/>
  <c r="H119" i="44"/>
  <c r="F31" i="44"/>
  <c r="I117" i="44"/>
  <c r="H116" i="44"/>
  <c r="I186" i="44"/>
  <c r="H15" i="44"/>
  <c r="F208" i="44"/>
  <c r="H182" i="44"/>
  <c r="F204" i="44"/>
  <c r="H20" i="44"/>
  <c r="H81" i="44"/>
  <c r="H200" i="44"/>
  <c r="I157" i="44"/>
  <c r="I121" i="44"/>
  <c r="F5" i="44"/>
  <c r="H22" i="44"/>
  <c r="I14" i="44"/>
  <c r="I208" i="44"/>
  <c r="H54" i="44"/>
  <c r="H94" i="44"/>
  <c r="I22" i="44"/>
  <c r="I132" i="44"/>
  <c r="H105" i="44"/>
  <c r="I29" i="44"/>
  <c r="F201" i="44"/>
  <c r="I83" i="44"/>
  <c r="H40" i="44"/>
  <c r="H118" i="44"/>
  <c r="F18" i="44"/>
  <c r="H131" i="44"/>
  <c r="F137" i="44"/>
  <c r="H120" i="44"/>
  <c r="F83" i="44"/>
  <c r="F147" i="44"/>
  <c r="I60" i="44"/>
  <c r="H233" i="44"/>
  <c r="I67" i="44"/>
  <c r="I97" i="44"/>
  <c r="I38" i="44"/>
  <c r="F30" i="44"/>
  <c r="H112" i="44"/>
  <c r="I123" i="44"/>
  <c r="I113" i="44"/>
  <c r="H155" i="44"/>
  <c r="I130" i="44"/>
  <c r="I110" i="44"/>
  <c r="H219" i="44"/>
  <c r="I177" i="44"/>
  <c r="H78" i="44"/>
  <c r="H87" i="44"/>
  <c r="I56" i="44"/>
  <c r="H44" i="44"/>
  <c r="F231" i="44"/>
  <c r="I202" i="44"/>
  <c r="I76" i="44"/>
  <c r="H60" i="44"/>
  <c r="H194" i="44"/>
  <c r="I13" i="44"/>
  <c r="I71" i="44"/>
  <c r="H86" i="44"/>
  <c r="H8" i="44"/>
  <c r="F26" i="44"/>
  <c r="I43" i="44"/>
  <c r="I221" i="44"/>
  <c r="H145" i="44"/>
  <c r="F23" i="44"/>
  <c r="H144" i="44"/>
  <c r="F161" i="44"/>
  <c r="I100" i="44"/>
  <c r="H176" i="44"/>
  <c r="H123" i="44"/>
  <c r="I118" i="44"/>
  <c r="F192" i="44"/>
  <c r="F225" i="44"/>
  <c r="F17" i="44"/>
  <c r="I207" i="44"/>
  <c r="F13" i="44"/>
  <c r="F65" i="44"/>
  <c r="H111" i="44"/>
  <c r="I58" i="44"/>
  <c r="I140" i="44"/>
  <c r="H138" i="44"/>
  <c r="F43" i="44"/>
  <c r="H223" i="44"/>
  <c r="H14" i="44"/>
  <c r="H162" i="44"/>
  <c r="I111" i="44"/>
  <c r="I143" i="44"/>
  <c r="F80" i="44"/>
  <c r="I232" i="44"/>
  <c r="F197" i="44"/>
  <c r="F179" i="44"/>
  <c r="F59" i="44"/>
  <c r="H13" i="44"/>
  <c r="I150" i="44"/>
  <c r="H204" i="44"/>
  <c r="H191" i="44"/>
  <c r="I213" i="44"/>
  <c r="F213" i="44"/>
  <c r="H11" i="44"/>
  <c r="I80" i="44"/>
  <c r="I87" i="44"/>
  <c r="H149" i="44"/>
  <c r="H174" i="44"/>
  <c r="I104" i="44"/>
  <c r="I228" i="44"/>
  <c r="F159" i="44"/>
  <c r="I190" i="44"/>
  <c r="H125" i="44"/>
  <c r="F33" i="44"/>
  <c r="I50" i="44"/>
  <c r="I139" i="44"/>
  <c r="I158" i="44"/>
  <c r="F124" i="44"/>
  <c r="I70" i="44"/>
  <c r="H126" i="44"/>
  <c r="F165" i="44"/>
  <c r="F119" i="44"/>
  <c r="F199" i="44"/>
  <c r="H33" i="44"/>
  <c r="H10" i="44"/>
  <c r="I54" i="44"/>
  <c r="H98" i="44"/>
  <c r="F156" i="44"/>
  <c r="I114" i="44"/>
  <c r="F24" i="44"/>
  <c r="F209" i="44"/>
  <c r="F198" i="44"/>
  <c r="H137" i="44"/>
  <c r="I230" i="44"/>
  <c r="H110" i="44"/>
  <c r="F78" i="44"/>
  <c r="F210" i="44"/>
  <c r="H47" i="44"/>
  <c r="F104" i="44"/>
  <c r="F118" i="44"/>
  <c r="I187" i="44"/>
  <c r="H24" i="44"/>
  <c r="F140" i="44"/>
  <c r="I198" i="44"/>
  <c r="F56" i="44"/>
  <c r="I218" i="44"/>
  <c r="F160" i="44"/>
  <c r="I20" i="44"/>
  <c r="H225" i="44"/>
  <c r="F75" i="44"/>
  <c r="I15" i="44"/>
  <c r="I209" i="44"/>
  <c r="I220" i="44"/>
  <c r="F229" i="44"/>
  <c r="F48" i="44"/>
  <c r="H74" i="44"/>
  <c r="I169" i="44"/>
  <c r="F108" i="44"/>
  <c r="F187" i="44"/>
  <c r="F8" i="44"/>
  <c r="H97" i="44"/>
  <c r="I214" i="44"/>
  <c r="H72" i="44"/>
  <c r="I128" i="44"/>
  <c r="F68" i="44"/>
  <c r="I212" i="44"/>
  <c r="F9" i="44"/>
  <c r="F73" i="44"/>
  <c r="F4" i="44"/>
  <c r="I204" i="44"/>
  <c r="H216" i="44"/>
  <c r="H164" i="44"/>
  <c r="H217" i="44"/>
  <c r="I146" i="44"/>
  <c r="F10" i="44"/>
  <c r="H169" i="44"/>
  <c r="H51" i="44"/>
  <c r="I79" i="44"/>
  <c r="F232" i="44"/>
  <c r="F190" i="44"/>
  <c r="H82" i="44"/>
  <c r="H213" i="44"/>
  <c r="I55" i="44"/>
  <c r="F180" i="44"/>
  <c r="F37" i="44"/>
  <c r="H220" i="44"/>
  <c r="H142" i="44"/>
  <c r="F11" i="44"/>
  <c r="H121" i="44"/>
  <c r="H37" i="44"/>
  <c r="F76" i="44"/>
  <c r="I4" i="44"/>
  <c r="H193" i="44"/>
  <c r="H90" i="44"/>
  <c r="F115" i="44"/>
  <c r="F69" i="44"/>
  <c r="F211" i="44"/>
  <c r="H91" i="44"/>
  <c r="F172" i="44"/>
  <c r="F167" i="44"/>
  <c r="H19" i="44"/>
  <c r="F129" i="44"/>
  <c r="H71" i="44"/>
  <c r="F36" i="44"/>
  <c r="H175" i="44"/>
  <c r="F70" i="44"/>
  <c r="F133" i="44"/>
  <c r="I172" i="44"/>
  <c r="H154" i="44"/>
  <c r="F153" i="44"/>
  <c r="F82" i="44"/>
  <c r="F38" i="44"/>
  <c r="F169" i="44"/>
  <c r="H75" i="44"/>
  <c r="F214" i="44"/>
  <c r="H26" i="44"/>
  <c r="I75" i="44"/>
  <c r="I10" i="44"/>
  <c r="F233" i="44"/>
  <c r="I173" i="44"/>
  <c r="F221" i="44"/>
  <c r="H95" i="44"/>
  <c r="F105" i="44"/>
  <c r="F194" i="44"/>
  <c r="F109" i="44"/>
  <c r="H102" i="44"/>
  <c r="I122" i="44"/>
  <c r="H190" i="44"/>
  <c r="F149" i="44"/>
  <c r="H159" i="44"/>
  <c r="F21" i="44"/>
  <c r="H7" i="44"/>
  <c r="H129" i="44"/>
  <c r="I195" i="44"/>
  <c r="I149" i="44"/>
  <c r="H39" i="44"/>
  <c r="I63" i="44"/>
  <c r="I119" i="44"/>
  <c r="H32" i="44"/>
  <c r="H84" i="44"/>
  <c r="F22" i="44"/>
  <c r="I185" i="44"/>
  <c r="H43" i="44"/>
  <c r="H61" i="44"/>
  <c r="F85" i="44"/>
  <c r="H218" i="44"/>
  <c r="H114" i="44"/>
  <c r="I201" i="44"/>
  <c r="I222" i="44"/>
  <c r="H157" i="44"/>
  <c r="I166" i="44"/>
  <c r="H100" i="44"/>
  <c r="F196" i="44"/>
  <c r="I108" i="44"/>
  <c r="I141" i="44"/>
  <c r="I25" i="44"/>
  <c r="I91" i="44"/>
  <c r="I224" i="44"/>
  <c r="I178" i="44"/>
  <c r="I193" i="44"/>
  <c r="I86" i="44"/>
  <c r="H209" i="44"/>
  <c r="H132" i="44"/>
  <c r="I59" i="44"/>
  <c r="H135" i="44"/>
  <c r="I164" i="44"/>
  <c r="F130" i="44"/>
  <c r="F110" i="44"/>
  <c r="F107" i="44"/>
  <c r="F88" i="44"/>
  <c r="I159" i="44"/>
  <c r="F49" i="44"/>
  <c r="H41" i="44"/>
  <c r="H89" i="44"/>
  <c r="H229" i="44"/>
  <c r="I45" i="44"/>
  <c r="H222" i="44"/>
  <c r="H12" i="44"/>
  <c r="I127" i="44"/>
  <c r="I182" i="44"/>
  <c r="H214" i="44"/>
  <c r="H58" i="44"/>
  <c r="I7" i="44"/>
  <c r="I211" i="44"/>
  <c r="H49" i="44"/>
  <c r="F203" i="44"/>
  <c r="H30" i="44"/>
  <c r="F34" i="44"/>
  <c r="F90" i="44"/>
  <c r="H57" i="44"/>
  <c r="F188" i="44"/>
  <c r="F55" i="44"/>
  <c r="H128" i="44"/>
  <c r="I189" i="44"/>
  <c r="F121" i="44"/>
  <c r="H146" i="44"/>
  <c r="I32" i="44"/>
  <c r="F157" i="44"/>
  <c r="F189" i="44"/>
  <c r="F145" i="44"/>
  <c r="F193" i="44"/>
  <c r="F135" i="44"/>
  <c r="J2" i="44" l="1"/>
  <c r="J1" i="44"/>
  <c r="F2" i="44"/>
  <c r="F1" i="44"/>
  <c r="I2" i="44"/>
  <c r="I1" i="44"/>
  <c r="H2" i="44"/>
  <c r="H1" i="44"/>
  <c r="A1" i="42" l="1"/>
  <c r="A1" i="39"/>
  <c r="E105" i="44"/>
  <c r="E63" i="44"/>
  <c r="G82" i="44"/>
  <c r="G126" i="44"/>
  <c r="E64" i="44"/>
  <c r="E114" i="44"/>
  <c r="G170" i="44"/>
  <c r="G101" i="44"/>
  <c r="G102" i="44"/>
  <c r="G11" i="44"/>
  <c r="E44" i="44"/>
  <c r="G173" i="44"/>
  <c r="E166" i="44"/>
  <c r="E229" i="44"/>
  <c r="G194" i="44"/>
  <c r="G211" i="44"/>
  <c r="E165" i="44"/>
  <c r="E231" i="44"/>
  <c r="G42" i="44"/>
  <c r="G46" i="44"/>
  <c r="G167" i="44"/>
  <c r="E75" i="44"/>
  <c r="G52" i="44"/>
  <c r="G26" i="44"/>
  <c r="G65" i="44"/>
  <c r="E28" i="44"/>
  <c r="G20" i="44"/>
  <c r="E203" i="44"/>
  <c r="E141" i="44"/>
  <c r="E163" i="44"/>
  <c r="G118" i="44"/>
  <c r="E148" i="44"/>
  <c r="E74" i="44"/>
  <c r="G32" i="44"/>
  <c r="G103" i="44"/>
  <c r="E140" i="44"/>
  <c r="G50" i="44"/>
  <c r="E19" i="44"/>
  <c r="G132" i="44"/>
  <c r="G146" i="44"/>
  <c r="E201" i="44"/>
  <c r="E119" i="44"/>
  <c r="G23" i="44"/>
  <c r="E108" i="44"/>
  <c r="E213" i="44"/>
  <c r="E61" i="44"/>
  <c r="G175" i="44"/>
  <c r="G71" i="44"/>
  <c r="E76" i="44"/>
  <c r="G45" i="44"/>
  <c r="E48" i="44"/>
  <c r="G231" i="44"/>
  <c r="E42" i="44"/>
  <c r="G83" i="44"/>
  <c r="E167" i="44"/>
  <c r="G91" i="44"/>
  <c r="E18" i="44"/>
  <c r="E103" i="44"/>
  <c r="E197" i="44"/>
  <c r="E145" i="44"/>
  <c r="G183" i="44"/>
  <c r="G115" i="44"/>
  <c r="G81" i="44"/>
  <c r="E106" i="44"/>
  <c r="G160" i="44"/>
  <c r="G109" i="44"/>
  <c r="G39" i="44"/>
  <c r="E142" i="44"/>
  <c r="E161" i="44"/>
  <c r="G116" i="44"/>
  <c r="E86" i="44"/>
  <c r="E169" i="44"/>
  <c r="E82" i="44"/>
  <c r="G37" i="44"/>
  <c r="E170" i="44"/>
  <c r="G15" i="44"/>
  <c r="E52" i="44"/>
  <c r="E207" i="44"/>
  <c r="E20" i="44"/>
  <c r="E81" i="44"/>
  <c r="G212" i="44"/>
  <c r="G127" i="44"/>
  <c r="G10" i="44"/>
  <c r="E62" i="44"/>
  <c r="G67" i="44"/>
  <c r="G43" i="44"/>
  <c r="G228" i="44"/>
  <c r="G120" i="44"/>
  <c r="G179" i="44"/>
  <c r="G223" i="44"/>
  <c r="E180" i="44"/>
  <c r="G113" i="44"/>
  <c r="E230" i="44"/>
  <c r="G29" i="44"/>
  <c r="E157" i="44"/>
  <c r="E98" i="44"/>
  <c r="G63" i="44"/>
  <c r="E177" i="44"/>
  <c r="G17" i="44"/>
  <c r="E144" i="44"/>
  <c r="G176" i="44"/>
  <c r="G70" i="44"/>
  <c r="G204" i="44"/>
  <c r="G35" i="44"/>
  <c r="E228" i="44"/>
  <c r="E123" i="44"/>
  <c r="E199" i="44"/>
  <c r="E223" i="44"/>
  <c r="G36" i="44"/>
  <c r="E47" i="44"/>
  <c r="G171" i="44"/>
  <c r="G180" i="44"/>
  <c r="G117" i="44"/>
  <c r="G222" i="44"/>
  <c r="G38" i="44"/>
  <c r="G8" i="44"/>
  <c r="G172" i="44"/>
  <c r="G40" i="44"/>
  <c r="G207" i="44"/>
  <c r="G216" i="44"/>
  <c r="G144" i="44"/>
  <c r="E209" i="44"/>
  <c r="G78" i="44"/>
  <c r="G104" i="44"/>
  <c r="G22" i="44"/>
  <c r="E221" i="44"/>
  <c r="G181" i="44"/>
  <c r="E113" i="44"/>
  <c r="G90" i="44"/>
  <c r="G34" i="44"/>
  <c r="E154" i="44"/>
  <c r="G230" i="44"/>
  <c r="E30" i="44"/>
  <c r="G202" i="44"/>
  <c r="G158" i="44"/>
  <c r="E212" i="44"/>
  <c r="E130" i="44"/>
  <c r="G6" i="44"/>
  <c r="G31" i="44"/>
  <c r="E117" i="44"/>
  <c r="E138" i="44"/>
  <c r="E205" i="44"/>
  <c r="E55" i="44"/>
  <c r="G80" i="44"/>
  <c r="G191" i="44"/>
  <c r="E188" i="44"/>
  <c r="E43" i="44"/>
  <c r="E60" i="44"/>
  <c r="E112" i="44"/>
  <c r="G44" i="44"/>
  <c r="G89" i="44"/>
  <c r="G56" i="44"/>
  <c r="G229" i="44"/>
  <c r="E50" i="44"/>
  <c r="G134" i="44"/>
  <c r="G203" i="44"/>
  <c r="E78" i="44"/>
  <c r="G163" i="44"/>
  <c r="E118" i="44"/>
  <c r="G221" i="44"/>
  <c r="G75" i="44"/>
  <c r="E32" i="44"/>
  <c r="E40" i="44"/>
  <c r="G124" i="44"/>
  <c r="G87" i="44"/>
  <c r="E7" i="44"/>
  <c r="G95" i="44"/>
  <c r="G233" i="44"/>
  <c r="G25" i="44"/>
  <c r="E182" i="44"/>
  <c r="E4" i="44"/>
  <c r="E122" i="44"/>
  <c r="G68" i="44"/>
  <c r="E216" i="44"/>
  <c r="G106" i="44"/>
  <c r="G164" i="44"/>
  <c r="G150" i="44"/>
  <c r="E153" i="44"/>
  <c r="G152" i="44"/>
  <c r="G88" i="44"/>
  <c r="E70" i="44"/>
  <c r="G192" i="44"/>
  <c r="G49" i="44"/>
  <c r="G219" i="44"/>
  <c r="E58" i="44"/>
  <c r="E126" i="44"/>
  <c r="G5" i="44"/>
  <c r="G97" i="44"/>
  <c r="E38" i="44"/>
  <c r="E8" i="44"/>
  <c r="E26" i="44"/>
  <c r="E193" i="44"/>
  <c r="G193" i="44"/>
  <c r="E158" i="44"/>
  <c r="G153" i="44"/>
  <c r="E31" i="44"/>
  <c r="G139" i="44"/>
  <c r="G100" i="44"/>
  <c r="G129" i="44"/>
  <c r="E196" i="44"/>
  <c r="G79" i="44"/>
  <c r="E226" i="44"/>
  <c r="E206" i="44"/>
  <c r="E174" i="44"/>
  <c r="E187" i="44"/>
  <c r="E176" i="44"/>
  <c r="E178" i="44"/>
  <c r="E198" i="44"/>
  <c r="G121" i="44"/>
  <c r="E155" i="44"/>
  <c r="G215" i="44"/>
  <c r="G96" i="44"/>
  <c r="E69" i="44"/>
  <c r="E14" i="44"/>
  <c r="G33" i="44"/>
  <c r="G77" i="44"/>
  <c r="G185" i="44"/>
  <c r="E36" i="44"/>
  <c r="E46" i="44"/>
  <c r="E90" i="44"/>
  <c r="G155" i="44"/>
  <c r="E137" i="44"/>
  <c r="G133" i="44"/>
  <c r="E204" i="44"/>
  <c r="E168" i="44"/>
  <c r="G59" i="44"/>
  <c r="E127" i="44"/>
  <c r="G182" i="44"/>
  <c r="E152" i="44"/>
  <c r="G9" i="44"/>
  <c r="G108" i="44"/>
  <c r="E186" i="44"/>
  <c r="E94" i="44"/>
  <c r="G218" i="44"/>
  <c r="E211" i="44"/>
  <c r="G110" i="44"/>
  <c r="G122" i="44"/>
  <c r="E183" i="44"/>
  <c r="E215" i="44"/>
  <c r="G161" i="44"/>
  <c r="G86" i="44"/>
  <c r="G140" i="44"/>
  <c r="G190" i="44"/>
  <c r="G76" i="44"/>
  <c r="G225" i="44"/>
  <c r="E102" i="44"/>
  <c r="G7" i="44"/>
  <c r="E104" i="44"/>
  <c r="E67" i="44"/>
  <c r="E77" i="44"/>
  <c r="E150" i="44"/>
  <c r="E53" i="44"/>
  <c r="G177" i="44"/>
  <c r="E25" i="44"/>
  <c r="G156" i="44"/>
  <c r="E29" i="44"/>
  <c r="G53" i="44"/>
  <c r="G84" i="44"/>
  <c r="E66" i="44"/>
  <c r="E111" i="44"/>
  <c r="G165" i="44"/>
  <c r="E68" i="44"/>
  <c r="E194" i="44"/>
  <c r="E49" i="44"/>
  <c r="G195" i="44"/>
  <c r="G149" i="44"/>
  <c r="G135" i="44"/>
  <c r="G64" i="44"/>
  <c r="E11" i="44"/>
  <c r="E95" i="44"/>
  <c r="E22" i="44"/>
  <c r="E109" i="44"/>
  <c r="E190" i="44"/>
  <c r="E185" i="44"/>
  <c r="G232" i="44"/>
  <c r="E227" i="44"/>
  <c r="E65" i="44"/>
  <c r="G28" i="44"/>
  <c r="G210" i="44"/>
  <c r="E217" i="44"/>
  <c r="G141" i="44"/>
  <c r="E93" i="44"/>
  <c r="E91" i="44"/>
  <c r="G148" i="44"/>
  <c r="G74" i="44"/>
  <c r="G186" i="44"/>
  <c r="E232" i="44"/>
  <c r="G220" i="44"/>
  <c r="E9" i="44"/>
  <c r="G112" i="44"/>
  <c r="G105" i="44"/>
  <c r="G73" i="44"/>
  <c r="E173" i="44"/>
  <c r="G209" i="44"/>
  <c r="G187" i="44"/>
  <c r="E73" i="44"/>
  <c r="E120" i="44"/>
  <c r="G226" i="44"/>
  <c r="E133" i="44"/>
  <c r="E34" i="44"/>
  <c r="G154" i="44"/>
  <c r="G57" i="44"/>
  <c r="G30" i="44"/>
  <c r="E202" i="44"/>
  <c r="E85" i="44"/>
  <c r="G157" i="44"/>
  <c r="G130" i="44"/>
  <c r="E6" i="44"/>
  <c r="G224" i="44"/>
  <c r="E54" i="44"/>
  <c r="G138" i="44"/>
  <c r="E16" i="44"/>
  <c r="E12" i="44"/>
  <c r="E132" i="44"/>
  <c r="E146" i="44"/>
  <c r="G227" i="44"/>
  <c r="G208" i="44"/>
  <c r="E23" i="44"/>
  <c r="E195" i="44"/>
  <c r="E162" i="44"/>
  <c r="G169" i="44"/>
  <c r="G131" i="44"/>
  <c r="G123" i="44"/>
  <c r="G199" i="44"/>
  <c r="E72" i="44"/>
  <c r="E192" i="44"/>
  <c r="G47" i="44"/>
  <c r="G198" i="44"/>
  <c r="G143" i="44"/>
  <c r="E27" i="44"/>
  <c r="E222" i="44"/>
  <c r="G41" i="44"/>
  <c r="E147" i="44"/>
  <c r="E172" i="44"/>
  <c r="G99" i="44"/>
  <c r="E100" i="44"/>
  <c r="E129" i="44"/>
  <c r="E115" i="44"/>
  <c r="E164" i="44"/>
  <c r="G69" i="44"/>
  <c r="E208" i="44"/>
  <c r="E88" i="44"/>
  <c r="E39" i="44"/>
  <c r="G19" i="44"/>
  <c r="G142" i="44"/>
  <c r="E181" i="44"/>
  <c r="G201" i="44"/>
  <c r="E171" i="44"/>
  <c r="E116" i="44"/>
  <c r="E219" i="44"/>
  <c r="G13" i="44"/>
  <c r="E151" i="44"/>
  <c r="G58" i="44"/>
  <c r="G184" i="44"/>
  <c r="E225" i="44"/>
  <c r="E80" i="44"/>
  <c r="E191" i="44"/>
  <c r="G200" i="44"/>
  <c r="G107" i="44"/>
  <c r="G60" i="44"/>
  <c r="E160" i="44"/>
  <c r="G189" i="44"/>
  <c r="G61" i="44"/>
  <c r="E175" i="44"/>
  <c r="E124" i="44"/>
  <c r="E87" i="44"/>
  <c r="E45" i="44"/>
  <c r="E35" i="44"/>
  <c r="E233" i="44"/>
  <c r="E96" i="44"/>
  <c r="G21" i="44"/>
  <c r="G197" i="44"/>
  <c r="G4" i="44"/>
  <c r="E136" i="44"/>
  <c r="E33" i="44"/>
  <c r="G145" i="44"/>
  <c r="G51" i="44"/>
  <c r="E210" i="44"/>
  <c r="G217" i="44"/>
  <c r="E121" i="44"/>
  <c r="G93" i="44"/>
  <c r="E51" i="44"/>
  <c r="E156" i="44"/>
  <c r="E214" i="44"/>
  <c r="E224" i="44"/>
  <c r="G54" i="44"/>
  <c r="E135" i="44"/>
  <c r="G16" i="44"/>
  <c r="G12" i="44"/>
  <c r="G168" i="44"/>
  <c r="G137" i="44"/>
  <c r="G14" i="44"/>
  <c r="G205" i="44"/>
  <c r="G55" i="44"/>
  <c r="G94" i="44"/>
  <c r="E99" i="44"/>
  <c r="G188" i="44"/>
  <c r="G119" i="44"/>
  <c r="G66" i="44"/>
  <c r="E179" i="44"/>
  <c r="G213" i="44"/>
  <c r="E218" i="44"/>
  <c r="G111" i="44"/>
  <c r="E71" i="44"/>
  <c r="E110" i="44"/>
  <c r="E37" i="44"/>
  <c r="E5" i="44"/>
  <c r="G128" i="44"/>
  <c r="G92" i="44"/>
  <c r="E15" i="44"/>
  <c r="G24" i="44"/>
  <c r="G125" i="44"/>
  <c r="E89" i="44"/>
  <c r="E56" i="44"/>
  <c r="E139" i="44"/>
  <c r="G62" i="44"/>
  <c r="E134" i="44"/>
  <c r="G159" i="44"/>
  <c r="G196" i="44"/>
  <c r="E79" i="44"/>
  <c r="E83" i="44"/>
  <c r="G206" i="44"/>
  <c r="G174" i="44"/>
  <c r="G18" i="44"/>
  <c r="G214" i="44"/>
  <c r="G178" i="44"/>
  <c r="E159" i="44"/>
  <c r="E57" i="44"/>
  <c r="E220" i="44"/>
  <c r="E149" i="44"/>
  <c r="E184" i="44"/>
  <c r="E92" i="44"/>
  <c r="E125" i="44"/>
  <c r="G85" i="44"/>
  <c r="E101" i="44"/>
  <c r="E143" i="44"/>
  <c r="E10" i="44"/>
  <c r="G48" i="44"/>
  <c r="G72" i="44"/>
  <c r="E21" i="44"/>
  <c r="E41" i="44"/>
  <c r="G98" i="44"/>
  <c r="E84" i="44"/>
  <c r="E59" i="44"/>
  <c r="G136" i="44"/>
  <c r="G166" i="44"/>
  <c r="G27" i="44"/>
  <c r="E17" i="44"/>
  <c r="E200" i="44"/>
  <c r="G147" i="44"/>
  <c r="E128" i="44"/>
  <c r="E97" i="44"/>
  <c r="E107" i="44"/>
  <c r="G114" i="44"/>
  <c r="E13" i="44"/>
  <c r="E24" i="44"/>
  <c r="G151" i="44"/>
  <c r="G162" i="44"/>
  <c r="E131" i="44"/>
  <c r="E189" i="44"/>
  <c r="C189" i="44" l="1"/>
  <c r="C131" i="44"/>
  <c r="D162" i="44"/>
  <c r="K162" i="44"/>
  <c r="L162" i="44"/>
  <c r="D151" i="44"/>
  <c r="K151" i="44"/>
  <c r="L151" i="44"/>
  <c r="C24" i="44"/>
  <c r="C13" i="44"/>
  <c r="L114" i="44"/>
  <c r="K114" i="44"/>
  <c r="D114" i="44"/>
  <c r="C107" i="44"/>
  <c r="C97" i="44"/>
  <c r="C128" i="44"/>
  <c r="L147" i="44"/>
  <c r="D147" i="44"/>
  <c r="K147" i="44"/>
  <c r="C200" i="44"/>
  <c r="C17" i="44"/>
  <c r="L27" i="44"/>
  <c r="D27" i="44"/>
  <c r="K27" i="44"/>
  <c r="D166" i="44"/>
  <c r="L166" i="44"/>
  <c r="K166" i="44"/>
  <c r="L136" i="44"/>
  <c r="K136" i="44"/>
  <c r="D136" i="44"/>
  <c r="C59" i="44"/>
  <c r="C84" i="44"/>
  <c r="K98" i="44"/>
  <c r="D98" i="44"/>
  <c r="L98" i="44"/>
  <c r="C41" i="44"/>
  <c r="C21" i="44"/>
  <c r="D72" i="44"/>
  <c r="L72" i="44"/>
  <c r="K72" i="44"/>
  <c r="D48" i="44"/>
  <c r="K48" i="44"/>
  <c r="L48" i="44"/>
  <c r="C10" i="44"/>
  <c r="C143" i="44"/>
  <c r="C101" i="44"/>
  <c r="D85" i="44"/>
  <c r="K85" i="44"/>
  <c r="L85" i="44"/>
  <c r="C125" i="44"/>
  <c r="C92" i="44"/>
  <c r="C184" i="44"/>
  <c r="C149" i="44"/>
  <c r="C220" i="44"/>
  <c r="C57" i="44"/>
  <c r="C159" i="44"/>
  <c r="D178" i="44"/>
  <c r="K178" i="44"/>
  <c r="L178" i="44"/>
  <c r="L214" i="44"/>
  <c r="D214" i="44"/>
  <c r="K214" i="44"/>
  <c r="D18" i="44"/>
  <c r="L18" i="44"/>
  <c r="K18" i="44"/>
  <c r="K174" i="44"/>
  <c r="L174" i="44"/>
  <c r="D174" i="44"/>
  <c r="D206" i="44"/>
  <c r="K206" i="44"/>
  <c r="L206" i="44"/>
  <c r="C83" i="44"/>
  <c r="C79" i="44"/>
  <c r="L196" i="44"/>
  <c r="K196" i="44"/>
  <c r="D196" i="44"/>
  <c r="D159" i="44"/>
  <c r="L159" i="44"/>
  <c r="K159" i="44"/>
  <c r="C134" i="44"/>
  <c r="D62" i="44"/>
  <c r="K62" i="44"/>
  <c r="L62" i="44"/>
  <c r="C139" i="44"/>
  <c r="C56" i="44"/>
  <c r="C89" i="44"/>
  <c r="D125" i="44"/>
  <c r="K125" i="44"/>
  <c r="L125" i="44"/>
  <c r="K24" i="44"/>
  <c r="L24" i="44"/>
  <c r="D24" i="44"/>
  <c r="C15" i="44"/>
  <c r="D92" i="44"/>
  <c r="L92" i="44"/>
  <c r="K92" i="44"/>
  <c r="K128" i="44"/>
  <c r="L128" i="44"/>
  <c r="D128" i="44"/>
  <c r="C5" i="44"/>
  <c r="C37" i="44"/>
  <c r="C110" i="44"/>
  <c r="C71" i="44"/>
  <c r="L111" i="44"/>
  <c r="D111" i="44"/>
  <c r="K111" i="44"/>
  <c r="C218" i="44"/>
  <c r="K213" i="44"/>
  <c r="L213" i="44"/>
  <c r="D213" i="44"/>
  <c r="C179" i="44"/>
  <c r="K66" i="44"/>
  <c r="D66" i="44"/>
  <c r="L66" i="44"/>
  <c r="L119" i="44"/>
  <c r="D119" i="44"/>
  <c r="K119" i="44"/>
  <c r="K188" i="44"/>
  <c r="D188" i="44"/>
  <c r="L188" i="44"/>
  <c r="C99" i="44"/>
  <c r="L94" i="44"/>
  <c r="D94" i="44"/>
  <c r="K94" i="44"/>
  <c r="K55" i="44"/>
  <c r="D55" i="44"/>
  <c r="L55" i="44"/>
  <c r="K205" i="44"/>
  <c r="L205" i="44"/>
  <c r="D205" i="44"/>
  <c r="L14" i="44"/>
  <c r="K14" i="44"/>
  <c r="D14" i="44"/>
  <c r="L137" i="44"/>
  <c r="D137" i="44"/>
  <c r="K137" i="44"/>
  <c r="K168" i="44"/>
  <c r="D168" i="44"/>
  <c r="L168" i="44"/>
  <c r="D12" i="44"/>
  <c r="K12" i="44"/>
  <c r="L12" i="44"/>
  <c r="D16" i="44"/>
  <c r="K16" i="44"/>
  <c r="L16" i="44"/>
  <c r="C135" i="44"/>
  <c r="D54" i="44"/>
  <c r="K54" i="44"/>
  <c r="L54" i="44"/>
  <c r="C224" i="44"/>
  <c r="C214" i="44"/>
  <c r="C156" i="44"/>
  <c r="C51" i="44"/>
  <c r="K93" i="44"/>
  <c r="D93" i="44"/>
  <c r="L93" i="44"/>
  <c r="C121" i="44"/>
  <c r="D217" i="44"/>
  <c r="K217" i="44"/>
  <c r="L217" i="44"/>
  <c r="C210" i="44"/>
  <c r="K51" i="44"/>
  <c r="L51" i="44"/>
  <c r="D51" i="44"/>
  <c r="L145" i="44"/>
  <c r="D145" i="44"/>
  <c r="K145" i="44"/>
  <c r="C33" i="44"/>
  <c r="C136" i="44"/>
  <c r="D4" i="44"/>
  <c r="K4" i="44"/>
  <c r="G2" i="44"/>
  <c r="G1" i="44"/>
  <c r="L4" i="44"/>
  <c r="L197" i="44"/>
  <c r="D197" i="44"/>
  <c r="K197" i="44"/>
  <c r="K21" i="44"/>
  <c r="L21" i="44"/>
  <c r="D21" i="44"/>
  <c r="C96" i="44"/>
  <c r="C233" i="44"/>
  <c r="C35" i="44"/>
  <c r="C45" i="44"/>
  <c r="C87" i="44"/>
  <c r="C124" i="44"/>
  <c r="C175" i="44"/>
  <c r="D61" i="44"/>
  <c r="K61" i="44"/>
  <c r="L61" i="44"/>
  <c r="K189" i="44"/>
  <c r="L189" i="44"/>
  <c r="D189" i="44"/>
  <c r="C160" i="44"/>
  <c r="D60" i="44"/>
  <c r="K60" i="44"/>
  <c r="L60" i="44"/>
  <c r="D107" i="44"/>
  <c r="K107" i="44"/>
  <c r="L107" i="44"/>
  <c r="K200" i="44"/>
  <c r="D200" i="44"/>
  <c r="L200" i="44"/>
  <c r="C191" i="44"/>
  <c r="C80" i="44"/>
  <c r="C225" i="44"/>
  <c r="L184" i="44"/>
  <c r="K184" i="44"/>
  <c r="D184" i="44"/>
  <c r="D58" i="44"/>
  <c r="K58" i="44"/>
  <c r="L58" i="44"/>
  <c r="C151" i="44"/>
  <c r="K13" i="44"/>
  <c r="L13" i="44"/>
  <c r="D13" i="44"/>
  <c r="C219" i="44"/>
  <c r="C116" i="44"/>
  <c r="C171" i="44"/>
  <c r="L201" i="44"/>
  <c r="D201" i="44"/>
  <c r="K201" i="44"/>
  <c r="C181" i="44"/>
  <c r="K142" i="44"/>
  <c r="L142" i="44"/>
  <c r="D142" i="44"/>
  <c r="K19" i="44"/>
  <c r="L19" i="44"/>
  <c r="D19" i="44"/>
  <c r="C39" i="44"/>
  <c r="C88" i="44"/>
  <c r="C208" i="44"/>
  <c r="D69" i="44"/>
  <c r="L69" i="44"/>
  <c r="K69" i="44"/>
  <c r="C164" i="44"/>
  <c r="C115" i="44"/>
  <c r="C129" i="44"/>
  <c r="C100" i="44"/>
  <c r="K99" i="44"/>
  <c r="L99" i="44"/>
  <c r="D99" i="44"/>
  <c r="C172" i="44"/>
  <c r="C147" i="44"/>
  <c r="L41" i="44"/>
  <c r="D41" i="44"/>
  <c r="K41" i="44"/>
  <c r="C222" i="44"/>
  <c r="C27" i="44"/>
  <c r="L143" i="44"/>
  <c r="K143" i="44"/>
  <c r="D143" i="44"/>
  <c r="D198" i="44"/>
  <c r="K198" i="44"/>
  <c r="L198" i="44"/>
  <c r="K47" i="44"/>
  <c r="L47" i="44"/>
  <c r="D47" i="44"/>
  <c r="C192" i="44"/>
  <c r="C72" i="44"/>
  <c r="D199" i="44"/>
  <c r="K199" i="44"/>
  <c r="L199" i="44"/>
  <c r="L123" i="44"/>
  <c r="K123" i="44"/>
  <c r="D123" i="44"/>
  <c r="K131" i="44"/>
  <c r="L131" i="44"/>
  <c r="D131" i="44"/>
  <c r="L169" i="44"/>
  <c r="D169" i="44"/>
  <c r="K169" i="44"/>
  <c r="C162" i="44"/>
  <c r="C195" i="44"/>
  <c r="C23" i="44"/>
  <c r="L208" i="44"/>
  <c r="K208" i="44"/>
  <c r="D208" i="44"/>
  <c r="D227" i="44"/>
  <c r="K227" i="44"/>
  <c r="L227" i="44"/>
  <c r="C146" i="44"/>
  <c r="C132" i="44"/>
  <c r="C12" i="44"/>
  <c r="C16" i="44"/>
  <c r="D138" i="44"/>
  <c r="K138" i="44"/>
  <c r="L138" i="44"/>
  <c r="C54" i="44"/>
  <c r="L224" i="44"/>
  <c r="D224" i="44"/>
  <c r="K224" i="44"/>
  <c r="C6" i="44"/>
  <c r="K130" i="44"/>
  <c r="D130" i="44"/>
  <c r="L130" i="44"/>
  <c r="D157" i="44"/>
  <c r="K157" i="44"/>
  <c r="L157" i="44"/>
  <c r="C85" i="44"/>
  <c r="C202" i="44"/>
  <c r="K30" i="44"/>
  <c r="D30" i="44"/>
  <c r="L30" i="44"/>
  <c r="D57" i="44"/>
  <c r="K57" i="44"/>
  <c r="L57" i="44"/>
  <c r="L154" i="44"/>
  <c r="D154" i="44"/>
  <c r="K154" i="44"/>
  <c r="C34" i="44"/>
  <c r="C133" i="44"/>
  <c r="L226" i="44"/>
  <c r="D226" i="44"/>
  <c r="K226" i="44"/>
  <c r="C120" i="44"/>
  <c r="C73" i="44"/>
  <c r="L187" i="44"/>
  <c r="K187" i="44"/>
  <c r="D187" i="44"/>
  <c r="L209" i="44"/>
  <c r="D209" i="44"/>
  <c r="K209" i="44"/>
  <c r="C173" i="44"/>
  <c r="D73" i="44"/>
  <c r="K73" i="44"/>
  <c r="L73" i="44"/>
  <c r="L105" i="44"/>
  <c r="K105" i="44"/>
  <c r="D105" i="44"/>
  <c r="L112" i="44"/>
  <c r="D112" i="44"/>
  <c r="K112" i="44"/>
  <c r="C9" i="44"/>
  <c r="D220" i="44"/>
  <c r="L220" i="44"/>
  <c r="K220" i="44"/>
  <c r="C232" i="44"/>
  <c r="D186" i="44"/>
  <c r="K186" i="44"/>
  <c r="L186" i="44"/>
  <c r="L74" i="44"/>
  <c r="D74" i="44"/>
  <c r="K74" i="44"/>
  <c r="L148" i="44"/>
  <c r="D148" i="44"/>
  <c r="K148" i="44"/>
  <c r="C91" i="44"/>
  <c r="C93" i="44"/>
  <c r="K141" i="44"/>
  <c r="L141" i="44"/>
  <c r="D141" i="44"/>
  <c r="C217" i="44"/>
  <c r="L210" i="44"/>
  <c r="D210" i="44"/>
  <c r="K210" i="44"/>
  <c r="L28" i="44"/>
  <c r="D28" i="44"/>
  <c r="K28" i="44"/>
  <c r="C65" i="44"/>
  <c r="C227" i="44"/>
  <c r="K232" i="44"/>
  <c r="D232" i="44"/>
  <c r="L232" i="44"/>
  <c r="C185" i="44"/>
  <c r="C190" i="44"/>
  <c r="C109" i="44"/>
  <c r="C22" i="44"/>
  <c r="C95" i="44"/>
  <c r="C11" i="44"/>
  <c r="D64" i="44"/>
  <c r="K64" i="44"/>
  <c r="L64" i="44"/>
  <c r="K135" i="44"/>
  <c r="D135" i="44"/>
  <c r="L135" i="44"/>
  <c r="K149" i="44"/>
  <c r="L149" i="44"/>
  <c r="D149" i="44"/>
  <c r="D195" i="44"/>
  <c r="K195" i="44"/>
  <c r="L195" i="44"/>
  <c r="C49" i="44"/>
  <c r="C194" i="44"/>
  <c r="C68" i="44"/>
  <c r="K165" i="44"/>
  <c r="L165" i="44"/>
  <c r="D165" i="44"/>
  <c r="C111" i="44"/>
  <c r="C66" i="44"/>
  <c r="D84" i="44"/>
  <c r="L84" i="44"/>
  <c r="K84" i="44"/>
  <c r="K53" i="44"/>
  <c r="L53" i="44"/>
  <c r="D53" i="44"/>
  <c r="C29" i="44"/>
  <c r="D156" i="44"/>
  <c r="L156" i="44"/>
  <c r="K156" i="44"/>
  <c r="C25" i="44"/>
  <c r="K177" i="44"/>
  <c r="L177" i="44"/>
  <c r="D177" i="44"/>
  <c r="C53" i="44"/>
  <c r="C150" i="44"/>
  <c r="C77" i="44"/>
  <c r="C67" i="44"/>
  <c r="C104" i="44"/>
  <c r="K7" i="44"/>
  <c r="L7" i="44"/>
  <c r="D7" i="44"/>
  <c r="C102" i="44"/>
  <c r="K225" i="44"/>
  <c r="L225" i="44"/>
  <c r="D225" i="44"/>
  <c r="L76" i="44"/>
  <c r="D76" i="44"/>
  <c r="K76" i="44"/>
  <c r="D190" i="44"/>
  <c r="L190" i="44"/>
  <c r="K190" i="44"/>
  <c r="K140" i="44"/>
  <c r="L140" i="44"/>
  <c r="D140" i="44"/>
  <c r="D86" i="44"/>
  <c r="K86" i="44"/>
  <c r="L86" i="44"/>
  <c r="L161" i="44"/>
  <c r="D161" i="44"/>
  <c r="K161" i="44"/>
  <c r="C215" i="44"/>
  <c r="C183" i="44"/>
  <c r="K122" i="44"/>
  <c r="L122" i="44"/>
  <c r="D122" i="44"/>
  <c r="K110" i="44"/>
  <c r="L110" i="44"/>
  <c r="D110" i="44"/>
  <c r="C211" i="44"/>
  <c r="K218" i="44"/>
  <c r="D218" i="44"/>
  <c r="L218" i="44"/>
  <c r="C94" i="44"/>
  <c r="C186" i="44"/>
  <c r="K108" i="44"/>
  <c r="D108" i="44"/>
  <c r="L108" i="44"/>
  <c r="L9" i="44"/>
  <c r="K9" i="44"/>
  <c r="D9" i="44"/>
  <c r="C152" i="44"/>
  <c r="K182" i="44"/>
  <c r="L182" i="44"/>
  <c r="D182" i="44"/>
  <c r="C127" i="44"/>
  <c r="K59" i="44"/>
  <c r="L59" i="44"/>
  <c r="D59" i="44"/>
  <c r="C168" i="44"/>
  <c r="C204" i="44"/>
  <c r="K133" i="44"/>
  <c r="D133" i="44"/>
  <c r="L133" i="44"/>
  <c r="C137" i="44"/>
  <c r="L155" i="44"/>
  <c r="D155" i="44"/>
  <c r="K155" i="44"/>
  <c r="C90" i="44"/>
  <c r="C46" i="44"/>
  <c r="C36" i="44"/>
  <c r="D185" i="44"/>
  <c r="K185" i="44"/>
  <c r="L185" i="44"/>
  <c r="L77" i="44"/>
  <c r="K77" i="44"/>
  <c r="D77" i="44"/>
  <c r="K33" i="44"/>
  <c r="L33" i="44"/>
  <c r="D33" i="44"/>
  <c r="C14" i="44"/>
  <c r="C69" i="44"/>
  <c r="D96" i="44"/>
  <c r="L96" i="44"/>
  <c r="K96" i="44"/>
  <c r="K215" i="44"/>
  <c r="L215" i="44"/>
  <c r="D215" i="44"/>
  <c r="C155" i="44"/>
  <c r="L121" i="44"/>
  <c r="K121" i="44"/>
  <c r="D121" i="44"/>
  <c r="C198" i="44"/>
  <c r="C178" i="44"/>
  <c r="C176" i="44"/>
  <c r="C187" i="44"/>
  <c r="C174" i="44"/>
  <c r="C206" i="44"/>
  <c r="C226" i="44"/>
  <c r="K79" i="44"/>
  <c r="L79" i="44"/>
  <c r="D79" i="44"/>
  <c r="C196" i="44"/>
  <c r="K129" i="44"/>
  <c r="L129" i="44"/>
  <c r="D129" i="44"/>
  <c r="K100" i="44"/>
  <c r="D100" i="44"/>
  <c r="L100" i="44"/>
  <c r="L139" i="44"/>
  <c r="D139" i="44"/>
  <c r="K139" i="44"/>
  <c r="C31" i="44"/>
  <c r="L153" i="44"/>
  <c r="K153" i="44"/>
  <c r="D153" i="44"/>
  <c r="C158" i="44"/>
  <c r="D193" i="44"/>
  <c r="K193" i="44"/>
  <c r="L193" i="44"/>
  <c r="C193" i="44"/>
  <c r="C26" i="44"/>
  <c r="C8" i="44"/>
  <c r="C38" i="44"/>
  <c r="K97" i="44"/>
  <c r="L97" i="44"/>
  <c r="D97" i="44"/>
  <c r="D5" i="44"/>
  <c r="K5" i="44"/>
  <c r="L5" i="44"/>
  <c r="C126" i="44"/>
  <c r="C58" i="44"/>
  <c r="L219" i="44"/>
  <c r="D219" i="44"/>
  <c r="K219" i="44"/>
  <c r="D49" i="44"/>
  <c r="K49" i="44"/>
  <c r="L49" i="44"/>
  <c r="D192" i="44"/>
  <c r="K192" i="44"/>
  <c r="L192" i="44"/>
  <c r="C70" i="44"/>
  <c r="K88" i="44"/>
  <c r="L88" i="44"/>
  <c r="D88" i="44"/>
  <c r="L152" i="44"/>
  <c r="K152" i="44"/>
  <c r="D152" i="44"/>
  <c r="C153" i="44"/>
  <c r="L150" i="44"/>
  <c r="D150" i="44"/>
  <c r="K150" i="44"/>
  <c r="D164" i="44"/>
  <c r="K164" i="44"/>
  <c r="L164" i="44"/>
  <c r="L106" i="44"/>
  <c r="D106" i="44"/>
  <c r="K106" i="44"/>
  <c r="C216" i="44"/>
  <c r="D68" i="44"/>
  <c r="K68" i="44"/>
  <c r="L68" i="44"/>
  <c r="C122" i="44"/>
  <c r="E1" i="44"/>
  <c r="E2" i="44"/>
  <c r="C4" i="44"/>
  <c r="C182" i="44"/>
  <c r="D25" i="44"/>
  <c r="K25" i="44"/>
  <c r="L25" i="44"/>
  <c r="L233" i="44"/>
  <c r="D233" i="44"/>
  <c r="K233" i="44"/>
  <c r="D95" i="44"/>
  <c r="K95" i="44"/>
  <c r="L95" i="44"/>
  <c r="C7" i="44"/>
  <c r="L87" i="44"/>
  <c r="D87" i="44"/>
  <c r="K87" i="44"/>
  <c r="K124" i="44"/>
  <c r="L124" i="44"/>
  <c r="D124" i="44"/>
  <c r="C40" i="44"/>
  <c r="C32" i="44"/>
  <c r="D75" i="44"/>
  <c r="K75" i="44"/>
  <c r="L75" i="44"/>
  <c r="D221" i="44"/>
  <c r="K221" i="44"/>
  <c r="L221" i="44"/>
  <c r="C118" i="44"/>
  <c r="L163" i="44"/>
  <c r="K163" i="44"/>
  <c r="D163" i="44"/>
  <c r="C78" i="44"/>
  <c r="D203" i="44"/>
  <c r="K203" i="44"/>
  <c r="L203" i="44"/>
  <c r="L134" i="44"/>
  <c r="K134" i="44"/>
  <c r="D134" i="44"/>
  <c r="C50" i="44"/>
  <c r="L229" i="44"/>
  <c r="D229" i="44"/>
  <c r="K229" i="44"/>
  <c r="D56" i="44"/>
  <c r="L56" i="44"/>
  <c r="K56" i="44"/>
  <c r="K89" i="44"/>
  <c r="L89" i="44"/>
  <c r="D89" i="44"/>
  <c r="D44" i="44"/>
  <c r="K44" i="44"/>
  <c r="L44" i="44"/>
  <c r="C112" i="44"/>
  <c r="C60" i="44"/>
  <c r="C43" i="44"/>
  <c r="C188" i="44"/>
  <c r="K191" i="44"/>
  <c r="L191" i="44"/>
  <c r="D191" i="44"/>
  <c r="D80" i="44"/>
  <c r="L80" i="44"/>
  <c r="K80" i="44"/>
  <c r="C55" i="44"/>
  <c r="C205" i="44"/>
  <c r="C138" i="44"/>
  <c r="C117" i="44"/>
  <c r="K31" i="44"/>
  <c r="L31" i="44"/>
  <c r="D31" i="44"/>
  <c r="K6" i="44"/>
  <c r="L6" i="44"/>
  <c r="D6" i="44"/>
  <c r="C130" i="44"/>
  <c r="C212" i="44"/>
  <c r="L158" i="44"/>
  <c r="K158" i="44"/>
  <c r="D158" i="44"/>
  <c r="L202" i="44"/>
  <c r="D202" i="44"/>
  <c r="K202" i="44"/>
  <c r="C30" i="44"/>
  <c r="L230" i="44"/>
  <c r="D230" i="44"/>
  <c r="K230" i="44"/>
  <c r="C154" i="44"/>
  <c r="D34" i="44"/>
  <c r="L34" i="44"/>
  <c r="K34" i="44"/>
  <c r="L90" i="44"/>
  <c r="D90" i="44"/>
  <c r="K90" i="44"/>
  <c r="C113" i="44"/>
  <c r="D181" i="44"/>
  <c r="K181" i="44"/>
  <c r="L181" i="44"/>
  <c r="C221" i="44"/>
  <c r="D22" i="44"/>
  <c r="L22" i="44"/>
  <c r="K22" i="44"/>
  <c r="K104" i="44"/>
  <c r="D104" i="44"/>
  <c r="L104" i="44"/>
  <c r="D78" i="44"/>
  <c r="K78" i="44"/>
  <c r="L78" i="44"/>
  <c r="C209" i="44"/>
  <c r="K144" i="44"/>
  <c r="L144" i="44"/>
  <c r="D144" i="44"/>
  <c r="D216" i="44"/>
  <c r="L216" i="44"/>
  <c r="K216" i="44"/>
  <c r="L207" i="44"/>
  <c r="D207" i="44"/>
  <c r="K207" i="44"/>
  <c r="D40" i="44"/>
  <c r="L40" i="44"/>
  <c r="K40" i="44"/>
  <c r="K172" i="44"/>
  <c r="L172" i="44"/>
  <c r="D172" i="44"/>
  <c r="D8" i="44"/>
  <c r="K8" i="44"/>
  <c r="L8" i="44"/>
  <c r="L38" i="44"/>
  <c r="D38" i="44"/>
  <c r="K38" i="44"/>
  <c r="K222" i="44"/>
  <c r="D222" i="44"/>
  <c r="L222" i="44"/>
  <c r="D117" i="44"/>
  <c r="K117" i="44"/>
  <c r="L117" i="44"/>
  <c r="L180" i="44"/>
  <c r="D180" i="44"/>
  <c r="K180" i="44"/>
  <c r="D171" i="44"/>
  <c r="K171" i="44"/>
  <c r="L171" i="44"/>
  <c r="C47" i="44"/>
  <c r="K36" i="44"/>
  <c r="L36" i="44"/>
  <c r="D36" i="44"/>
  <c r="C223" i="44"/>
  <c r="C199" i="44"/>
  <c r="C123" i="44"/>
  <c r="C228" i="44"/>
  <c r="L35" i="44"/>
  <c r="D35" i="44"/>
  <c r="K35" i="44"/>
  <c r="K204" i="44"/>
  <c r="L204" i="44"/>
  <c r="D204" i="44"/>
  <c r="D70" i="44"/>
  <c r="L70" i="44"/>
  <c r="K70" i="44"/>
  <c r="K176" i="44"/>
  <c r="D176" i="44"/>
  <c r="L176" i="44"/>
  <c r="C144" i="44"/>
  <c r="L17" i="44"/>
  <c r="K17" i="44"/>
  <c r="D17" i="44"/>
  <c r="C177" i="44"/>
  <c r="K63" i="44"/>
  <c r="L63" i="44"/>
  <c r="D63" i="44"/>
  <c r="C98" i="44"/>
  <c r="C157" i="44"/>
  <c r="K29" i="44"/>
  <c r="D29" i="44"/>
  <c r="L29" i="44"/>
  <c r="C230" i="44"/>
  <c r="D113" i="44"/>
  <c r="K113" i="44"/>
  <c r="L113" i="44"/>
  <c r="C180" i="44"/>
  <c r="L223" i="44"/>
  <c r="D223" i="44"/>
  <c r="K223" i="44"/>
  <c r="K179" i="44"/>
  <c r="D179" i="44"/>
  <c r="L179" i="44"/>
  <c r="L120" i="44"/>
  <c r="K120" i="44"/>
  <c r="D120" i="44"/>
  <c r="K228" i="44"/>
  <c r="L228" i="44"/>
  <c r="D228" i="44"/>
  <c r="K43" i="44"/>
  <c r="D43" i="44"/>
  <c r="L43" i="44"/>
  <c r="K67" i="44"/>
  <c r="L67" i="44"/>
  <c r="D67" i="44"/>
  <c r="C62" i="44"/>
  <c r="K10" i="44"/>
  <c r="L10" i="44"/>
  <c r="D10" i="44"/>
  <c r="D127" i="44"/>
  <c r="K127" i="44"/>
  <c r="L127" i="44"/>
  <c r="D212" i="44"/>
  <c r="L212" i="44"/>
  <c r="K212" i="44"/>
  <c r="C81" i="44"/>
  <c r="C20" i="44"/>
  <c r="C207" i="44"/>
  <c r="C52" i="44"/>
  <c r="L15" i="44"/>
  <c r="D15" i="44"/>
  <c r="K15" i="44"/>
  <c r="C170" i="44"/>
  <c r="D37" i="44"/>
  <c r="K37" i="44"/>
  <c r="L37" i="44"/>
  <c r="C82" i="44"/>
  <c r="C169" i="44"/>
  <c r="C86" i="44"/>
  <c r="L116" i="44"/>
  <c r="K116" i="44"/>
  <c r="D116" i="44"/>
  <c r="C161" i="44"/>
  <c r="C142" i="44"/>
  <c r="D39" i="44"/>
  <c r="K39" i="44"/>
  <c r="L39" i="44"/>
  <c r="K109" i="44"/>
  <c r="L109" i="44"/>
  <c r="D109" i="44"/>
  <c r="L160" i="44"/>
  <c r="D160" i="44"/>
  <c r="K160" i="44"/>
  <c r="C106" i="44"/>
  <c r="D81" i="44"/>
  <c r="L81" i="44"/>
  <c r="K81" i="44"/>
  <c r="D115" i="44"/>
  <c r="K115" i="44"/>
  <c r="L115" i="44"/>
  <c r="K183" i="44"/>
  <c r="L183" i="44"/>
  <c r="D183" i="44"/>
  <c r="C145" i="44"/>
  <c r="C197" i="44"/>
  <c r="C103" i="44"/>
  <c r="C18" i="44"/>
  <c r="D91" i="44"/>
  <c r="K91" i="44"/>
  <c r="L91" i="44"/>
  <c r="C167" i="44"/>
  <c r="K83" i="44"/>
  <c r="L83" i="44"/>
  <c r="D83" i="44"/>
  <c r="C42" i="44"/>
  <c r="D231" i="44"/>
  <c r="K231" i="44"/>
  <c r="L231" i="44"/>
  <c r="C48" i="44"/>
  <c r="K45" i="44"/>
  <c r="L45" i="44"/>
  <c r="D45" i="44"/>
  <c r="C76" i="44"/>
  <c r="L71" i="44"/>
  <c r="D71" i="44"/>
  <c r="K71" i="44"/>
  <c r="K175" i="44"/>
  <c r="L175" i="44"/>
  <c r="D175" i="44"/>
  <c r="C61" i="44"/>
  <c r="C213" i="44"/>
  <c r="C108" i="44"/>
  <c r="L23" i="44"/>
  <c r="K23" i="44"/>
  <c r="D23" i="44"/>
  <c r="C119" i="44"/>
  <c r="C201" i="44"/>
  <c r="D146" i="44"/>
  <c r="K146" i="44"/>
  <c r="L146" i="44"/>
  <c r="L132" i="44"/>
  <c r="K132" i="44"/>
  <c r="D132" i="44"/>
  <c r="C19" i="44"/>
  <c r="L50" i="44"/>
  <c r="K50" i="44"/>
  <c r="D50" i="44"/>
  <c r="C140" i="44"/>
  <c r="D103" i="44"/>
  <c r="K103" i="44"/>
  <c r="L103" i="44"/>
  <c r="K32" i="44"/>
  <c r="D32" i="44"/>
  <c r="L32" i="44"/>
  <c r="C74" i="44"/>
  <c r="C148" i="44"/>
  <c r="L118" i="44"/>
  <c r="D118" i="44"/>
  <c r="K118" i="44"/>
  <c r="C163" i="44"/>
  <c r="C141" i="44"/>
  <c r="C203" i="44"/>
  <c r="K20" i="44"/>
  <c r="L20" i="44"/>
  <c r="D20" i="44"/>
  <c r="C28" i="44"/>
  <c r="L65" i="44"/>
  <c r="K65" i="44"/>
  <c r="D65" i="44"/>
  <c r="K26" i="44"/>
  <c r="D26" i="44"/>
  <c r="L26" i="44"/>
  <c r="D52" i="44"/>
  <c r="L52" i="44"/>
  <c r="K52" i="44"/>
  <c r="C75" i="44"/>
  <c r="L167" i="44"/>
  <c r="D167" i="44"/>
  <c r="K167" i="44"/>
  <c r="D46" i="44"/>
  <c r="K46" i="44"/>
  <c r="L46" i="44"/>
  <c r="K42" i="44"/>
  <c r="L42" i="44"/>
  <c r="D42" i="44"/>
  <c r="C231" i="44"/>
  <c r="C165" i="44"/>
  <c r="L211" i="44"/>
  <c r="D211" i="44"/>
  <c r="K211" i="44"/>
  <c r="K194" i="44"/>
  <c r="D194" i="44"/>
  <c r="L194" i="44"/>
  <c r="C229" i="44"/>
  <c r="C166" i="44"/>
  <c r="D173" i="44"/>
  <c r="K173" i="44"/>
  <c r="L173" i="44"/>
  <c r="C44" i="44"/>
  <c r="K11" i="44"/>
  <c r="L11" i="44"/>
  <c r="D11" i="44"/>
  <c r="D102" i="44"/>
  <c r="K102" i="44"/>
  <c r="L102" i="44"/>
  <c r="K101" i="44"/>
  <c r="L101" i="44"/>
  <c r="D101" i="44"/>
  <c r="D170" i="44"/>
  <c r="L170" i="44"/>
  <c r="K170" i="44"/>
  <c r="C114" i="44"/>
  <c r="C64" i="44"/>
  <c r="L126" i="44"/>
  <c r="K126" i="44"/>
  <c r="D126" i="44"/>
  <c r="K82" i="44"/>
  <c r="L82" i="44"/>
  <c r="D82" i="44"/>
  <c r="C63" i="44"/>
  <c r="C105" i="44"/>
  <c r="M116" i="44" l="1"/>
  <c r="P116" i="44"/>
  <c r="Q116" i="44" s="1"/>
  <c r="O116" i="44"/>
  <c r="N116" i="44"/>
  <c r="M179" i="44"/>
  <c r="O179" i="44"/>
  <c r="P179" i="44"/>
  <c r="Q179" i="44" s="1"/>
  <c r="N179" i="44"/>
  <c r="O139" i="44"/>
  <c r="M139" i="44"/>
  <c r="P139" i="44"/>
  <c r="Q139" i="44" s="1"/>
  <c r="N139" i="44"/>
  <c r="M156" i="44"/>
  <c r="N156" i="44"/>
  <c r="O156" i="44"/>
  <c r="P156" i="44"/>
  <c r="Q156" i="44" s="1"/>
  <c r="O137" i="44"/>
  <c r="P137" i="44"/>
  <c r="Q137" i="44" s="1"/>
  <c r="N137" i="44"/>
  <c r="M137" i="44"/>
  <c r="P65" i="44"/>
  <c r="Q65" i="44" s="1"/>
  <c r="M65" i="44"/>
  <c r="N65" i="44"/>
  <c r="O65" i="44"/>
  <c r="N15" i="44"/>
  <c r="M15" i="44"/>
  <c r="O15" i="44"/>
  <c r="P15" i="44"/>
  <c r="Q15" i="44" s="1"/>
  <c r="M95" i="44"/>
  <c r="N95" i="44"/>
  <c r="O95" i="44"/>
  <c r="P95" i="44"/>
  <c r="Q95" i="44" s="1"/>
  <c r="O28" i="44"/>
  <c r="M28" i="44"/>
  <c r="N28" i="44"/>
  <c r="P28" i="44"/>
  <c r="Q28" i="44" s="1"/>
  <c r="M138" i="44"/>
  <c r="O138" i="44"/>
  <c r="P138" i="44"/>
  <c r="Q138" i="44" s="1"/>
  <c r="N138" i="44"/>
  <c r="M41" i="44"/>
  <c r="N41" i="44"/>
  <c r="O41" i="44"/>
  <c r="P41" i="44"/>
  <c r="Q41" i="44" s="1"/>
  <c r="P189" i="44"/>
  <c r="Q189" i="44" s="1"/>
  <c r="N189" i="44"/>
  <c r="M189" i="44"/>
  <c r="O189" i="44"/>
  <c r="O217" i="44"/>
  <c r="P217" i="44"/>
  <c r="Q217" i="44" s="1"/>
  <c r="N217" i="44"/>
  <c r="M217" i="44"/>
  <c r="N151" i="44"/>
  <c r="P151" i="44"/>
  <c r="Q151" i="44" s="1"/>
  <c r="M151" i="44"/>
  <c r="O151" i="44"/>
  <c r="N42" i="44"/>
  <c r="O42" i="44"/>
  <c r="M42" i="44"/>
  <c r="P42" i="44"/>
  <c r="Q42" i="44" s="1"/>
  <c r="O118" i="44"/>
  <c r="N118" i="44"/>
  <c r="M118" i="44"/>
  <c r="P118" i="44"/>
  <c r="Q118" i="44" s="1"/>
  <c r="M144" i="44"/>
  <c r="O144" i="44"/>
  <c r="N144" i="44"/>
  <c r="P144" i="44"/>
  <c r="Q144" i="44" s="1"/>
  <c r="O31" i="44"/>
  <c r="M31" i="44"/>
  <c r="N31" i="44"/>
  <c r="P31" i="44"/>
  <c r="Q31" i="44" s="1"/>
  <c r="C1" i="44"/>
  <c r="C2" i="44"/>
  <c r="M108" i="44"/>
  <c r="N108" i="44"/>
  <c r="P108" i="44"/>
  <c r="Q108" i="44" s="1"/>
  <c r="O108" i="44"/>
  <c r="N135" i="44"/>
  <c r="O135" i="44"/>
  <c r="P135" i="44"/>
  <c r="Q135" i="44" s="1"/>
  <c r="M135" i="44"/>
  <c r="O23" i="44"/>
  <c r="M23" i="44"/>
  <c r="N23" i="44"/>
  <c r="P23" i="44"/>
  <c r="Q23" i="44" s="1"/>
  <c r="O29" i="44"/>
  <c r="P29" i="44"/>
  <c r="Q29" i="44" s="1"/>
  <c r="M29" i="44"/>
  <c r="N29" i="44"/>
  <c r="O124" i="44"/>
  <c r="P124" i="44"/>
  <c r="Q124" i="44" s="1"/>
  <c r="N124" i="44"/>
  <c r="M124" i="44"/>
  <c r="N96" i="44"/>
  <c r="M96" i="44"/>
  <c r="O96" i="44"/>
  <c r="P96" i="44"/>
  <c r="Q96" i="44" s="1"/>
  <c r="M182" i="44"/>
  <c r="P182" i="44"/>
  <c r="Q182" i="44" s="1"/>
  <c r="O182" i="44"/>
  <c r="N182" i="44"/>
  <c r="N61" i="44"/>
  <c r="M61" i="44"/>
  <c r="P61" i="44"/>
  <c r="Q61" i="44" s="1"/>
  <c r="O61" i="44"/>
  <c r="N173" i="44"/>
  <c r="P173" i="44"/>
  <c r="Q173" i="44" s="1"/>
  <c r="O173" i="44"/>
  <c r="M173" i="44"/>
  <c r="P46" i="44"/>
  <c r="Q46" i="44" s="1"/>
  <c r="M46" i="44"/>
  <c r="O46" i="44"/>
  <c r="N46" i="44"/>
  <c r="O231" i="44"/>
  <c r="M231" i="44"/>
  <c r="N231" i="44"/>
  <c r="P231" i="44"/>
  <c r="Q231" i="44" s="1"/>
  <c r="O91" i="44"/>
  <c r="P91" i="44"/>
  <c r="Q91" i="44" s="1"/>
  <c r="M91" i="44"/>
  <c r="N91" i="44"/>
  <c r="N183" i="44"/>
  <c r="M183" i="44"/>
  <c r="O183" i="44"/>
  <c r="P183" i="44"/>
  <c r="Q183" i="44" s="1"/>
  <c r="M160" i="44"/>
  <c r="P160" i="44"/>
  <c r="Q160" i="44" s="1"/>
  <c r="N160" i="44"/>
  <c r="O160" i="44"/>
  <c r="O127" i="44"/>
  <c r="N127" i="44"/>
  <c r="P127" i="44"/>
  <c r="Q127" i="44" s="1"/>
  <c r="M127" i="44"/>
  <c r="P67" i="44"/>
  <c r="Q67" i="44" s="1"/>
  <c r="N67" i="44"/>
  <c r="O67" i="44"/>
  <c r="M67" i="44"/>
  <c r="M120" i="44"/>
  <c r="P120" i="44"/>
  <c r="Q120" i="44" s="1"/>
  <c r="O120" i="44"/>
  <c r="N120" i="44"/>
  <c r="O191" i="44"/>
  <c r="P191" i="44"/>
  <c r="Q191" i="44" s="1"/>
  <c r="N191" i="44"/>
  <c r="M191" i="44"/>
  <c r="M87" i="44"/>
  <c r="P87" i="44"/>
  <c r="Q87" i="44" s="1"/>
  <c r="N87" i="44"/>
  <c r="O87" i="44"/>
  <c r="M192" i="44"/>
  <c r="P192" i="44"/>
  <c r="Q192" i="44" s="1"/>
  <c r="N192" i="44"/>
  <c r="O192" i="44"/>
  <c r="O79" i="44"/>
  <c r="M79" i="44"/>
  <c r="P79" i="44"/>
  <c r="Q79" i="44" s="1"/>
  <c r="N79" i="44"/>
  <c r="O77" i="44"/>
  <c r="N77" i="44"/>
  <c r="P77" i="44"/>
  <c r="Q77" i="44" s="1"/>
  <c r="M77" i="44"/>
  <c r="N155" i="44"/>
  <c r="P155" i="44"/>
  <c r="Q155" i="44" s="1"/>
  <c r="O155" i="44"/>
  <c r="M155" i="44"/>
  <c r="M64" i="44"/>
  <c r="N64" i="44"/>
  <c r="P64" i="44"/>
  <c r="Q64" i="44" s="1"/>
  <c r="O64" i="44"/>
  <c r="M210" i="44"/>
  <c r="P210" i="44"/>
  <c r="Q210" i="44" s="1"/>
  <c r="N210" i="44"/>
  <c r="O210" i="44"/>
  <c r="P186" i="44"/>
  <c r="Q186" i="44" s="1"/>
  <c r="N186" i="44"/>
  <c r="O186" i="44"/>
  <c r="M186" i="44"/>
  <c r="O224" i="44"/>
  <c r="M224" i="44"/>
  <c r="P224" i="44"/>
  <c r="Q224" i="44" s="1"/>
  <c r="N224" i="44"/>
  <c r="M60" i="44"/>
  <c r="O60" i="44"/>
  <c r="N60" i="44"/>
  <c r="P60" i="44"/>
  <c r="Q60" i="44" s="1"/>
  <c r="P54" i="44"/>
  <c r="Q54" i="44" s="1"/>
  <c r="N54" i="44"/>
  <c r="O54" i="44"/>
  <c r="M54" i="44"/>
  <c r="N14" i="44"/>
  <c r="M14" i="44"/>
  <c r="O14" i="44"/>
  <c r="P14" i="44"/>
  <c r="Q14" i="44" s="1"/>
  <c r="N94" i="44"/>
  <c r="P94" i="44"/>
  <c r="Q94" i="44" s="1"/>
  <c r="O94" i="44"/>
  <c r="M94" i="44"/>
  <c r="N213" i="44"/>
  <c r="O213" i="44"/>
  <c r="M213" i="44"/>
  <c r="P213" i="44"/>
  <c r="Q213" i="44" s="1"/>
  <c r="O114" i="44"/>
  <c r="P114" i="44"/>
  <c r="Q114" i="44" s="1"/>
  <c r="M114" i="44"/>
  <c r="N114" i="44"/>
  <c r="P162" i="44"/>
  <c r="Q162" i="44" s="1"/>
  <c r="M162" i="44"/>
  <c r="N162" i="44"/>
  <c r="O162" i="44"/>
  <c r="P82" i="44"/>
  <c r="Q82" i="44" s="1"/>
  <c r="M82" i="44"/>
  <c r="O82" i="44"/>
  <c r="N82" i="44"/>
  <c r="M81" i="44"/>
  <c r="O81" i="44"/>
  <c r="N81" i="44"/>
  <c r="P81" i="44"/>
  <c r="Q81" i="44" s="1"/>
  <c r="O10" i="44"/>
  <c r="P10" i="44"/>
  <c r="Q10" i="44" s="1"/>
  <c r="M10" i="44"/>
  <c r="N10" i="44"/>
  <c r="N63" i="44"/>
  <c r="P63" i="44"/>
  <c r="Q63" i="44" s="1"/>
  <c r="M63" i="44"/>
  <c r="O63" i="44"/>
  <c r="M36" i="44"/>
  <c r="O36" i="44"/>
  <c r="N36" i="44"/>
  <c r="P36" i="44"/>
  <c r="Q36" i="44" s="1"/>
  <c r="M227" i="44"/>
  <c r="O227" i="44"/>
  <c r="P227" i="44"/>
  <c r="Q227" i="44" s="1"/>
  <c r="N227" i="44"/>
  <c r="M99" i="44"/>
  <c r="N99" i="44"/>
  <c r="P99" i="44"/>
  <c r="Q99" i="44" s="1"/>
  <c r="O99" i="44"/>
  <c r="N205" i="44"/>
  <c r="M205" i="44"/>
  <c r="O205" i="44"/>
  <c r="P205" i="44"/>
  <c r="Q205" i="44" s="1"/>
  <c r="M72" i="44"/>
  <c r="P72" i="44"/>
  <c r="Q72" i="44" s="1"/>
  <c r="O72" i="44"/>
  <c r="N72" i="44"/>
  <c r="N223" i="44"/>
  <c r="M223" i="44"/>
  <c r="P223" i="44"/>
  <c r="Q223" i="44" s="1"/>
  <c r="O223" i="44"/>
  <c r="O70" i="44"/>
  <c r="N70" i="44"/>
  <c r="P70" i="44"/>
  <c r="Q70" i="44" s="1"/>
  <c r="M70" i="44"/>
  <c r="P158" i="44"/>
  <c r="Q158" i="44" s="1"/>
  <c r="O158" i="44"/>
  <c r="M158" i="44"/>
  <c r="N158" i="44"/>
  <c r="P88" i="44"/>
  <c r="Q88" i="44" s="1"/>
  <c r="O88" i="44"/>
  <c r="N88" i="44"/>
  <c r="M88" i="44"/>
  <c r="P161" i="44"/>
  <c r="Q161" i="44" s="1"/>
  <c r="M161" i="44"/>
  <c r="O161" i="44"/>
  <c r="N161" i="44"/>
  <c r="N187" i="44"/>
  <c r="M187" i="44"/>
  <c r="O187" i="44"/>
  <c r="P187" i="44"/>
  <c r="Q187" i="44" s="1"/>
  <c r="P52" i="44"/>
  <c r="Q52" i="44" s="1"/>
  <c r="O52" i="44"/>
  <c r="M52" i="44"/>
  <c r="N52" i="44"/>
  <c r="P175" i="44"/>
  <c r="Q175" i="44" s="1"/>
  <c r="N175" i="44"/>
  <c r="M175" i="44"/>
  <c r="O175" i="44"/>
  <c r="M228" i="44"/>
  <c r="O228" i="44"/>
  <c r="N228" i="44"/>
  <c r="P228" i="44"/>
  <c r="Q228" i="44" s="1"/>
  <c r="O8" i="44"/>
  <c r="N8" i="44"/>
  <c r="M8" i="44"/>
  <c r="P8" i="44"/>
  <c r="Q8" i="44" s="1"/>
  <c r="P229" i="44"/>
  <c r="Q229" i="44" s="1"/>
  <c r="N229" i="44"/>
  <c r="O229" i="44"/>
  <c r="M229" i="44"/>
  <c r="M215" i="44"/>
  <c r="O215" i="44"/>
  <c r="P215" i="44"/>
  <c r="Q215" i="44" s="1"/>
  <c r="N215" i="44"/>
  <c r="P133" i="44"/>
  <c r="Q133" i="44" s="1"/>
  <c r="M133" i="44"/>
  <c r="O133" i="44"/>
  <c r="N133" i="44"/>
  <c r="N190" i="44"/>
  <c r="O190" i="44"/>
  <c r="M190" i="44"/>
  <c r="P190" i="44"/>
  <c r="Q190" i="44" s="1"/>
  <c r="P141" i="44"/>
  <c r="Q141" i="44" s="1"/>
  <c r="M141" i="44"/>
  <c r="N141" i="44"/>
  <c r="O141" i="44"/>
  <c r="P130" i="44"/>
  <c r="Q130" i="44" s="1"/>
  <c r="M130" i="44"/>
  <c r="O130" i="44"/>
  <c r="N130" i="44"/>
  <c r="N198" i="44"/>
  <c r="P198" i="44"/>
  <c r="Q198" i="44" s="1"/>
  <c r="M198" i="44"/>
  <c r="O198" i="44"/>
  <c r="P13" i="44"/>
  <c r="Q13" i="44" s="1"/>
  <c r="M13" i="44"/>
  <c r="N13" i="44"/>
  <c r="O13" i="44"/>
  <c r="P188" i="44"/>
  <c r="Q188" i="44" s="1"/>
  <c r="M188" i="44"/>
  <c r="O188" i="44"/>
  <c r="N188" i="44"/>
  <c r="M101" i="44"/>
  <c r="N101" i="44"/>
  <c r="O101" i="44"/>
  <c r="P101" i="44"/>
  <c r="Q101" i="44" s="1"/>
  <c r="M71" i="44"/>
  <c r="P71" i="44"/>
  <c r="Q71" i="44" s="1"/>
  <c r="N71" i="44"/>
  <c r="O71" i="44"/>
  <c r="O39" i="44"/>
  <c r="M39" i="44"/>
  <c r="N39" i="44"/>
  <c r="P39" i="44"/>
  <c r="Q39" i="44" s="1"/>
  <c r="P171" i="44"/>
  <c r="Q171" i="44" s="1"/>
  <c r="O171" i="44"/>
  <c r="M171" i="44"/>
  <c r="N171" i="44"/>
  <c r="N12" i="44"/>
  <c r="P12" i="44"/>
  <c r="Q12" i="44" s="1"/>
  <c r="O12" i="44"/>
  <c r="M12" i="44"/>
  <c r="N119" i="44"/>
  <c r="P119" i="44"/>
  <c r="Q119" i="44" s="1"/>
  <c r="O119" i="44"/>
  <c r="M119" i="44"/>
  <c r="P102" i="44"/>
  <c r="Q102" i="44" s="1"/>
  <c r="O102" i="44"/>
  <c r="M102" i="44"/>
  <c r="N102" i="44"/>
  <c r="N180" i="44"/>
  <c r="M180" i="44"/>
  <c r="P180" i="44"/>
  <c r="Q180" i="44" s="1"/>
  <c r="O180" i="44"/>
  <c r="P222" i="44"/>
  <c r="Q222" i="44" s="1"/>
  <c r="M222" i="44"/>
  <c r="N222" i="44"/>
  <c r="O222" i="44"/>
  <c r="O216" i="44"/>
  <c r="N216" i="44"/>
  <c r="P216" i="44"/>
  <c r="Q216" i="44" s="1"/>
  <c r="M216" i="44"/>
  <c r="N78" i="44"/>
  <c r="P78" i="44"/>
  <c r="Q78" i="44" s="1"/>
  <c r="O78" i="44"/>
  <c r="M78" i="44"/>
  <c r="P34" i="44"/>
  <c r="Q34" i="44" s="1"/>
  <c r="M34" i="44"/>
  <c r="N34" i="44"/>
  <c r="O34" i="44"/>
  <c r="P202" i="44"/>
  <c r="Q202" i="44" s="1"/>
  <c r="N202" i="44"/>
  <c r="O202" i="44"/>
  <c r="M202" i="44"/>
  <c r="M75" i="44"/>
  <c r="N75" i="44"/>
  <c r="O75" i="44"/>
  <c r="P75" i="44"/>
  <c r="Q75" i="44" s="1"/>
  <c r="O152" i="44"/>
  <c r="P152" i="44"/>
  <c r="Q152" i="44" s="1"/>
  <c r="M152" i="44"/>
  <c r="N152" i="44"/>
  <c r="O153" i="44"/>
  <c r="N153" i="44"/>
  <c r="P153" i="44"/>
  <c r="Q153" i="44" s="1"/>
  <c r="M153" i="44"/>
  <c r="N100" i="44"/>
  <c r="O100" i="44"/>
  <c r="P100" i="44"/>
  <c r="Q100" i="44" s="1"/>
  <c r="M100" i="44"/>
  <c r="P121" i="44"/>
  <c r="Q121" i="44" s="1"/>
  <c r="M121" i="44"/>
  <c r="N121" i="44"/>
  <c r="O121" i="44"/>
  <c r="P86" i="44"/>
  <c r="Q86" i="44" s="1"/>
  <c r="O86" i="44"/>
  <c r="M86" i="44"/>
  <c r="N86" i="44"/>
  <c r="M76" i="44"/>
  <c r="O76" i="44"/>
  <c r="N76" i="44"/>
  <c r="P76" i="44"/>
  <c r="Q76" i="44" s="1"/>
  <c r="M148" i="44"/>
  <c r="N148" i="44"/>
  <c r="O148" i="44"/>
  <c r="P148" i="44"/>
  <c r="Q148" i="44" s="1"/>
  <c r="O209" i="44"/>
  <c r="N209" i="44"/>
  <c r="M209" i="44"/>
  <c r="P209" i="44"/>
  <c r="Q209" i="44" s="1"/>
  <c r="P226" i="44"/>
  <c r="Q226" i="44" s="1"/>
  <c r="O226" i="44"/>
  <c r="M226" i="44"/>
  <c r="N226" i="44"/>
  <c r="N131" i="44"/>
  <c r="O131" i="44"/>
  <c r="M131" i="44"/>
  <c r="P131" i="44"/>
  <c r="Q131" i="44" s="1"/>
  <c r="O143" i="44"/>
  <c r="N143" i="44"/>
  <c r="M143" i="44"/>
  <c r="P143" i="44"/>
  <c r="Q143" i="44" s="1"/>
  <c r="N69" i="44"/>
  <c r="O69" i="44"/>
  <c r="M69" i="44"/>
  <c r="P69" i="44"/>
  <c r="Q69" i="44" s="1"/>
  <c r="M19" i="44"/>
  <c r="O19" i="44"/>
  <c r="N19" i="44"/>
  <c r="P19" i="44"/>
  <c r="Q19" i="44" s="1"/>
  <c r="O58" i="44"/>
  <c r="P58" i="44"/>
  <c r="Q58" i="44" s="1"/>
  <c r="N58" i="44"/>
  <c r="M58" i="44"/>
  <c r="M4" i="44"/>
  <c r="N4" i="44"/>
  <c r="K2" i="44"/>
  <c r="P4" i="44"/>
  <c r="K1" i="44"/>
  <c r="O4" i="44"/>
  <c r="M196" i="44"/>
  <c r="N196" i="44"/>
  <c r="O196" i="44"/>
  <c r="P196" i="44"/>
  <c r="Q196" i="44" s="1"/>
  <c r="P166" i="44"/>
  <c r="Q166" i="44" s="1"/>
  <c r="M166" i="44"/>
  <c r="N166" i="44"/>
  <c r="O166" i="44"/>
  <c r="M147" i="44"/>
  <c r="O147" i="44"/>
  <c r="P147" i="44"/>
  <c r="Q147" i="44" s="1"/>
  <c r="N147" i="44"/>
  <c r="P212" i="44"/>
  <c r="Q212" i="44" s="1"/>
  <c r="M212" i="44"/>
  <c r="O212" i="44"/>
  <c r="N212" i="44"/>
  <c r="P176" i="44"/>
  <c r="Q176" i="44" s="1"/>
  <c r="N176" i="44"/>
  <c r="O176" i="44"/>
  <c r="M176" i="44"/>
  <c r="P150" i="44"/>
  <c r="Q150" i="44" s="1"/>
  <c r="M150" i="44"/>
  <c r="N150" i="44"/>
  <c r="O150" i="44"/>
  <c r="P74" i="44"/>
  <c r="Q74" i="44" s="1"/>
  <c r="O74" i="44"/>
  <c r="M74" i="44"/>
  <c r="N74" i="44"/>
  <c r="N169" i="44"/>
  <c r="O169" i="44"/>
  <c r="P169" i="44"/>
  <c r="Q169" i="44" s="1"/>
  <c r="M169" i="44"/>
  <c r="O142" i="44"/>
  <c r="N142" i="44"/>
  <c r="M142" i="44"/>
  <c r="P142" i="44"/>
  <c r="Q142" i="44" s="1"/>
  <c r="N184" i="44"/>
  <c r="M184" i="44"/>
  <c r="P184" i="44"/>
  <c r="Q184" i="44" s="1"/>
  <c r="O184" i="44"/>
  <c r="O16" i="44"/>
  <c r="M16" i="44"/>
  <c r="P16" i="44"/>
  <c r="Q16" i="44" s="1"/>
  <c r="N16" i="44"/>
  <c r="P66" i="44"/>
  <c r="Q66" i="44" s="1"/>
  <c r="N66" i="44"/>
  <c r="M66" i="44"/>
  <c r="O66" i="44"/>
  <c r="N125" i="44"/>
  <c r="P125" i="44"/>
  <c r="Q125" i="44" s="1"/>
  <c r="M125" i="44"/>
  <c r="O125" i="44"/>
  <c r="P85" i="44"/>
  <c r="Q85" i="44" s="1"/>
  <c r="M85" i="44"/>
  <c r="O85" i="44"/>
  <c r="N85" i="44"/>
  <c r="N45" i="44"/>
  <c r="M45" i="44"/>
  <c r="O45" i="44"/>
  <c r="P45" i="44"/>
  <c r="Q45" i="44" s="1"/>
  <c r="N230" i="44"/>
  <c r="O230" i="44"/>
  <c r="P230" i="44"/>
  <c r="Q230" i="44" s="1"/>
  <c r="M230" i="44"/>
  <c r="P219" i="44"/>
  <c r="Q219" i="44" s="1"/>
  <c r="N219" i="44"/>
  <c r="M219" i="44"/>
  <c r="O219" i="44"/>
  <c r="P140" i="44"/>
  <c r="Q140" i="44" s="1"/>
  <c r="O140" i="44"/>
  <c r="M140" i="44"/>
  <c r="N140" i="44"/>
  <c r="O107" i="44"/>
  <c r="P107" i="44"/>
  <c r="Q107" i="44" s="1"/>
  <c r="M107" i="44"/>
  <c r="N107" i="44"/>
  <c r="M145" i="44"/>
  <c r="N145" i="44"/>
  <c r="O145" i="44"/>
  <c r="P145" i="44"/>
  <c r="Q145" i="44" s="1"/>
  <c r="O159" i="44"/>
  <c r="P159" i="44"/>
  <c r="Q159" i="44" s="1"/>
  <c r="M159" i="44"/>
  <c r="N159" i="44"/>
  <c r="N194" i="44"/>
  <c r="M194" i="44"/>
  <c r="P194" i="44"/>
  <c r="Q194" i="44" s="1"/>
  <c r="O194" i="44"/>
  <c r="P22" i="44"/>
  <c r="Q22" i="44" s="1"/>
  <c r="O22" i="44"/>
  <c r="N22" i="44"/>
  <c r="M22" i="44"/>
  <c r="P44" i="44"/>
  <c r="Q44" i="44" s="1"/>
  <c r="N44" i="44"/>
  <c r="M44" i="44"/>
  <c r="O44" i="44"/>
  <c r="N203" i="44"/>
  <c r="M203" i="44"/>
  <c r="P203" i="44"/>
  <c r="Q203" i="44" s="1"/>
  <c r="O203" i="44"/>
  <c r="O106" i="44"/>
  <c r="M106" i="44"/>
  <c r="N106" i="44"/>
  <c r="P106" i="44"/>
  <c r="Q106" i="44" s="1"/>
  <c r="P33" i="44"/>
  <c r="Q33" i="44" s="1"/>
  <c r="M33" i="44"/>
  <c r="N33" i="44"/>
  <c r="O33" i="44"/>
  <c r="P73" i="44"/>
  <c r="Q73" i="44" s="1"/>
  <c r="M73" i="44"/>
  <c r="O73" i="44"/>
  <c r="N73" i="44"/>
  <c r="N30" i="44"/>
  <c r="M30" i="44"/>
  <c r="O30" i="44"/>
  <c r="P30" i="44"/>
  <c r="Q30" i="44" s="1"/>
  <c r="N201" i="44"/>
  <c r="P201" i="44"/>
  <c r="Q201" i="44" s="1"/>
  <c r="O201" i="44"/>
  <c r="M201" i="44"/>
  <c r="L2" i="44"/>
  <c r="L1" i="44"/>
  <c r="N214" i="44"/>
  <c r="O214" i="44"/>
  <c r="P214" i="44"/>
  <c r="Q214" i="44" s="1"/>
  <c r="M214" i="44"/>
  <c r="O211" i="44"/>
  <c r="P211" i="44"/>
  <c r="Q211" i="44" s="1"/>
  <c r="N211" i="44"/>
  <c r="M211" i="44"/>
  <c r="M132" i="44"/>
  <c r="O132" i="44"/>
  <c r="P132" i="44"/>
  <c r="Q132" i="44" s="1"/>
  <c r="N132" i="44"/>
  <c r="N233" i="44"/>
  <c r="O233" i="44"/>
  <c r="P233" i="44"/>
  <c r="Q233" i="44" s="1"/>
  <c r="M233" i="44"/>
  <c r="P97" i="44"/>
  <c r="Q97" i="44" s="1"/>
  <c r="M97" i="44"/>
  <c r="O97" i="44"/>
  <c r="N97" i="44"/>
  <c r="N136" i="44"/>
  <c r="P136" i="44"/>
  <c r="Q136" i="44" s="1"/>
  <c r="O136" i="44"/>
  <c r="M136" i="44"/>
  <c r="M170" i="44"/>
  <c r="P170" i="44"/>
  <c r="Q170" i="44" s="1"/>
  <c r="O170" i="44"/>
  <c r="N170" i="44"/>
  <c r="M167" i="44"/>
  <c r="N167" i="44"/>
  <c r="P167" i="44"/>
  <c r="Q167" i="44" s="1"/>
  <c r="O167" i="44"/>
  <c r="O20" i="44"/>
  <c r="P20" i="44"/>
  <c r="Q20" i="44" s="1"/>
  <c r="M20" i="44"/>
  <c r="N20" i="44"/>
  <c r="M146" i="44"/>
  <c r="O146" i="44"/>
  <c r="P146" i="44"/>
  <c r="Q146" i="44" s="1"/>
  <c r="N146" i="44"/>
  <c r="M115" i="44"/>
  <c r="P115" i="44"/>
  <c r="Q115" i="44" s="1"/>
  <c r="N115" i="44"/>
  <c r="O115" i="44"/>
  <c r="M37" i="44"/>
  <c r="O37" i="44"/>
  <c r="N37" i="44"/>
  <c r="P37" i="44"/>
  <c r="Q37" i="44" s="1"/>
  <c r="M113" i="44"/>
  <c r="N113" i="44"/>
  <c r="O113" i="44"/>
  <c r="P113" i="44"/>
  <c r="Q113" i="44" s="1"/>
  <c r="O204" i="44"/>
  <c r="P204" i="44"/>
  <c r="Q204" i="44" s="1"/>
  <c r="N204" i="44"/>
  <c r="M204" i="44"/>
  <c r="P38" i="44"/>
  <c r="Q38" i="44" s="1"/>
  <c r="N38" i="44"/>
  <c r="M38" i="44"/>
  <c r="O38" i="44"/>
  <c r="M172" i="44"/>
  <c r="N172" i="44"/>
  <c r="O172" i="44"/>
  <c r="P172" i="44"/>
  <c r="Q172" i="44" s="1"/>
  <c r="O89" i="44"/>
  <c r="N89" i="44"/>
  <c r="P89" i="44"/>
  <c r="Q89" i="44" s="1"/>
  <c r="M89" i="44"/>
  <c r="P163" i="44"/>
  <c r="Q163" i="44" s="1"/>
  <c r="O163" i="44"/>
  <c r="M163" i="44"/>
  <c r="N163" i="44"/>
  <c r="P164" i="44"/>
  <c r="Q164" i="44" s="1"/>
  <c r="N164" i="44"/>
  <c r="O164" i="44"/>
  <c r="M164" i="44"/>
  <c r="P9" i="44"/>
  <c r="Q9" i="44" s="1"/>
  <c r="N9" i="44"/>
  <c r="M9" i="44"/>
  <c r="O9" i="44"/>
  <c r="N122" i="44"/>
  <c r="M122" i="44"/>
  <c r="O122" i="44"/>
  <c r="P122" i="44"/>
  <c r="Q122" i="44" s="1"/>
  <c r="N7" i="44"/>
  <c r="P7" i="44"/>
  <c r="Q7" i="44" s="1"/>
  <c r="O7" i="44"/>
  <c r="M7" i="44"/>
  <c r="P177" i="44"/>
  <c r="Q177" i="44" s="1"/>
  <c r="O177" i="44"/>
  <c r="M177" i="44"/>
  <c r="N177" i="44"/>
  <c r="P53" i="44"/>
  <c r="Q53" i="44" s="1"/>
  <c r="M53" i="44"/>
  <c r="N53" i="44"/>
  <c r="O53" i="44"/>
  <c r="M165" i="44"/>
  <c r="N165" i="44"/>
  <c r="O165" i="44"/>
  <c r="P165" i="44"/>
  <c r="Q165" i="44" s="1"/>
  <c r="N232" i="44"/>
  <c r="P232" i="44"/>
  <c r="Q232" i="44" s="1"/>
  <c r="M232" i="44"/>
  <c r="O232" i="44"/>
  <c r="N57" i="44"/>
  <c r="O57" i="44"/>
  <c r="P57" i="44"/>
  <c r="Q57" i="44" s="1"/>
  <c r="M57" i="44"/>
  <c r="P157" i="44"/>
  <c r="Q157" i="44" s="1"/>
  <c r="M157" i="44"/>
  <c r="N157" i="44"/>
  <c r="O157" i="44"/>
  <c r="N21" i="44"/>
  <c r="P21" i="44"/>
  <c r="Q21" i="44" s="1"/>
  <c r="O21" i="44"/>
  <c r="M21" i="44"/>
  <c r="D2" i="44"/>
  <c r="D1" i="44"/>
  <c r="N51" i="44"/>
  <c r="P51" i="44"/>
  <c r="Q51" i="44" s="1"/>
  <c r="O51" i="44"/>
  <c r="M51" i="44"/>
  <c r="O93" i="44"/>
  <c r="N93" i="44"/>
  <c r="P93" i="44"/>
  <c r="Q93" i="44" s="1"/>
  <c r="M93" i="44"/>
  <c r="M111" i="44"/>
  <c r="O111" i="44"/>
  <c r="P111" i="44"/>
  <c r="Q111" i="44" s="1"/>
  <c r="N111" i="44"/>
  <c r="O24" i="44"/>
  <c r="M24" i="44"/>
  <c r="N24" i="44"/>
  <c r="P24" i="44"/>
  <c r="Q24" i="44" s="1"/>
  <c r="N62" i="44"/>
  <c r="O62" i="44"/>
  <c r="M62" i="44"/>
  <c r="P62" i="44"/>
  <c r="Q62" i="44" s="1"/>
  <c r="P174" i="44"/>
  <c r="Q174" i="44" s="1"/>
  <c r="M174" i="44"/>
  <c r="O174" i="44"/>
  <c r="N174" i="44"/>
  <c r="O178" i="44"/>
  <c r="M178" i="44"/>
  <c r="N178" i="44"/>
  <c r="P178" i="44"/>
  <c r="Q178" i="44" s="1"/>
  <c r="M48" i="44"/>
  <c r="P48" i="44"/>
  <c r="Q48" i="44" s="1"/>
  <c r="N48" i="44"/>
  <c r="O48" i="44"/>
  <c r="N129" i="44"/>
  <c r="O129" i="44"/>
  <c r="P129" i="44"/>
  <c r="Q129" i="44" s="1"/>
  <c r="M129" i="44"/>
  <c r="P47" i="44"/>
  <c r="Q47" i="44" s="1"/>
  <c r="M47" i="44"/>
  <c r="O47" i="44"/>
  <c r="N47" i="44"/>
  <c r="O92" i="44"/>
  <c r="P92" i="44"/>
  <c r="Q92" i="44" s="1"/>
  <c r="N92" i="44"/>
  <c r="M92" i="44"/>
  <c r="P27" i="44"/>
  <c r="Q27" i="44" s="1"/>
  <c r="O27" i="44"/>
  <c r="M27" i="44"/>
  <c r="N27" i="44"/>
  <c r="O11" i="44"/>
  <c r="P11" i="44"/>
  <c r="Q11" i="44" s="1"/>
  <c r="N11" i="44"/>
  <c r="M11" i="44"/>
  <c r="O32" i="44"/>
  <c r="M32" i="44"/>
  <c r="P32" i="44"/>
  <c r="Q32" i="44" s="1"/>
  <c r="N32" i="44"/>
  <c r="O83" i="44"/>
  <c r="N83" i="44"/>
  <c r="P83" i="44"/>
  <c r="Q83" i="44" s="1"/>
  <c r="M83" i="44"/>
  <c r="P109" i="44"/>
  <c r="Q109" i="44" s="1"/>
  <c r="O109" i="44"/>
  <c r="M109" i="44"/>
  <c r="N109" i="44"/>
  <c r="N117" i="44"/>
  <c r="P117" i="44"/>
  <c r="Q117" i="44" s="1"/>
  <c r="M117" i="44"/>
  <c r="O117" i="44"/>
  <c r="N104" i="44"/>
  <c r="M104" i="44"/>
  <c r="P104" i="44"/>
  <c r="Q104" i="44" s="1"/>
  <c r="O104" i="44"/>
  <c r="O193" i="44"/>
  <c r="P193" i="44"/>
  <c r="Q193" i="44" s="1"/>
  <c r="M193" i="44"/>
  <c r="N193" i="44"/>
  <c r="N126" i="44"/>
  <c r="M126" i="44"/>
  <c r="O126" i="44"/>
  <c r="P126" i="44"/>
  <c r="Q126" i="44" s="1"/>
  <c r="M207" i="44"/>
  <c r="N207" i="44"/>
  <c r="O207" i="44"/>
  <c r="P207" i="44"/>
  <c r="Q207" i="44" s="1"/>
  <c r="N90" i="44"/>
  <c r="P90" i="44"/>
  <c r="Q90" i="44" s="1"/>
  <c r="M90" i="44"/>
  <c r="O90" i="44"/>
  <c r="M221" i="44"/>
  <c r="O221" i="44"/>
  <c r="P221" i="44"/>
  <c r="Q221" i="44" s="1"/>
  <c r="N221" i="44"/>
  <c r="O225" i="44"/>
  <c r="P225" i="44"/>
  <c r="Q225" i="44" s="1"/>
  <c r="M225" i="44"/>
  <c r="N225" i="44"/>
  <c r="M154" i="44"/>
  <c r="N154" i="44"/>
  <c r="O154" i="44"/>
  <c r="P154" i="44"/>
  <c r="Q154" i="44" s="1"/>
  <c r="O199" i="44"/>
  <c r="P199" i="44"/>
  <c r="Q199" i="44" s="1"/>
  <c r="N199" i="44"/>
  <c r="M199" i="44"/>
  <c r="O206" i="44"/>
  <c r="M206" i="44"/>
  <c r="P206" i="44"/>
  <c r="Q206" i="44" s="1"/>
  <c r="N206" i="44"/>
  <c r="M103" i="44"/>
  <c r="N103" i="44"/>
  <c r="O103" i="44"/>
  <c r="P103" i="44"/>
  <c r="Q103" i="44" s="1"/>
  <c r="M17" i="44"/>
  <c r="N17" i="44"/>
  <c r="O17" i="44"/>
  <c r="P17" i="44"/>
  <c r="Q17" i="44" s="1"/>
  <c r="P110" i="44"/>
  <c r="Q110" i="44" s="1"/>
  <c r="O110" i="44"/>
  <c r="M110" i="44"/>
  <c r="N110" i="44"/>
  <c r="P195" i="44"/>
  <c r="Q195" i="44" s="1"/>
  <c r="N195" i="44"/>
  <c r="M195" i="44"/>
  <c r="O195" i="44"/>
  <c r="M112" i="44"/>
  <c r="O112" i="44"/>
  <c r="P112" i="44"/>
  <c r="Q112" i="44" s="1"/>
  <c r="N112" i="44"/>
  <c r="P208" i="44"/>
  <c r="Q208" i="44" s="1"/>
  <c r="M208" i="44"/>
  <c r="O208" i="44"/>
  <c r="N208" i="44"/>
  <c r="O55" i="44"/>
  <c r="N55" i="44"/>
  <c r="M55" i="44"/>
  <c r="P55" i="44"/>
  <c r="Q55" i="44" s="1"/>
  <c r="P26" i="44"/>
  <c r="Q26" i="44" s="1"/>
  <c r="M26" i="44"/>
  <c r="O26" i="44"/>
  <c r="N26" i="44"/>
  <c r="N50" i="44"/>
  <c r="P50" i="44"/>
  <c r="Q50" i="44" s="1"/>
  <c r="O50" i="44"/>
  <c r="M50" i="44"/>
  <c r="O43" i="44"/>
  <c r="M43" i="44"/>
  <c r="N43" i="44"/>
  <c r="P43" i="44"/>
  <c r="Q43" i="44" s="1"/>
  <c r="P35" i="44"/>
  <c r="Q35" i="44" s="1"/>
  <c r="O35" i="44"/>
  <c r="N35" i="44"/>
  <c r="M35" i="44"/>
  <c r="O40" i="44"/>
  <c r="M40" i="44"/>
  <c r="N40" i="44"/>
  <c r="P40" i="44"/>
  <c r="Q40" i="44" s="1"/>
  <c r="M181" i="44"/>
  <c r="N181" i="44"/>
  <c r="P181" i="44"/>
  <c r="Q181" i="44" s="1"/>
  <c r="O181" i="44"/>
  <c r="N6" i="44"/>
  <c r="O6" i="44"/>
  <c r="P6" i="44"/>
  <c r="Q6" i="44" s="1"/>
  <c r="M6" i="44"/>
  <c r="P80" i="44"/>
  <c r="Q80" i="44" s="1"/>
  <c r="N80" i="44"/>
  <c r="O80" i="44"/>
  <c r="M80" i="44"/>
  <c r="M56" i="44"/>
  <c r="N56" i="44"/>
  <c r="P56" i="44"/>
  <c r="Q56" i="44" s="1"/>
  <c r="O56" i="44"/>
  <c r="P134" i="44"/>
  <c r="Q134" i="44" s="1"/>
  <c r="M134" i="44"/>
  <c r="N134" i="44"/>
  <c r="O134" i="44"/>
  <c r="N25" i="44"/>
  <c r="M25" i="44"/>
  <c r="O25" i="44"/>
  <c r="P25" i="44"/>
  <c r="Q25" i="44" s="1"/>
  <c r="N68" i="44"/>
  <c r="P68" i="44"/>
  <c r="Q68" i="44" s="1"/>
  <c r="O68" i="44"/>
  <c r="M68" i="44"/>
  <c r="P49" i="44"/>
  <c r="Q49" i="44" s="1"/>
  <c r="N49" i="44"/>
  <c r="M49" i="44"/>
  <c r="O49" i="44"/>
  <c r="N5" i="44"/>
  <c r="O5" i="44"/>
  <c r="P5" i="44"/>
  <c r="Q5" i="44" s="1"/>
  <c r="M5" i="44"/>
  <c r="N185" i="44"/>
  <c r="O185" i="44"/>
  <c r="M185" i="44"/>
  <c r="P185" i="44"/>
  <c r="Q185" i="44" s="1"/>
  <c r="P59" i="44"/>
  <c r="Q59" i="44" s="1"/>
  <c r="M59" i="44"/>
  <c r="O59" i="44"/>
  <c r="N59" i="44"/>
  <c r="N218" i="44"/>
  <c r="O218" i="44"/>
  <c r="P218" i="44"/>
  <c r="Q218" i="44" s="1"/>
  <c r="M218" i="44"/>
  <c r="O84" i="44"/>
  <c r="N84" i="44"/>
  <c r="P84" i="44"/>
  <c r="Q84" i="44" s="1"/>
  <c r="M84" i="44"/>
  <c r="O149" i="44"/>
  <c r="P149" i="44"/>
  <c r="Q149" i="44" s="1"/>
  <c r="M149" i="44"/>
  <c r="N149" i="44"/>
  <c r="O220" i="44"/>
  <c r="P220" i="44"/>
  <c r="Q220" i="44" s="1"/>
  <c r="M220" i="44"/>
  <c r="N220" i="44"/>
  <c r="M105" i="44"/>
  <c r="O105" i="44"/>
  <c r="N105" i="44"/>
  <c r="P105" i="44"/>
  <c r="Q105" i="44" s="1"/>
  <c r="P123" i="44"/>
  <c r="Q123" i="44" s="1"/>
  <c r="N123" i="44"/>
  <c r="M123" i="44"/>
  <c r="O123" i="44"/>
  <c r="O200" i="44"/>
  <c r="N200" i="44"/>
  <c r="M200" i="44"/>
  <c r="P200" i="44"/>
  <c r="Q200" i="44" s="1"/>
  <c r="P197" i="44"/>
  <c r="Q197" i="44" s="1"/>
  <c r="O197" i="44"/>
  <c r="N197" i="44"/>
  <c r="M197" i="44"/>
  <c r="M168" i="44"/>
  <c r="O168" i="44"/>
  <c r="N168" i="44"/>
  <c r="P168" i="44"/>
  <c r="Q168" i="44" s="1"/>
  <c r="M128" i="44"/>
  <c r="O128" i="44"/>
  <c r="P128" i="44"/>
  <c r="Q128" i="44" s="1"/>
  <c r="N128" i="44"/>
  <c r="P18" i="44"/>
  <c r="Q18" i="44" s="1"/>
  <c r="N18" i="44"/>
  <c r="O18" i="44"/>
  <c r="M18" i="44"/>
  <c r="N98" i="44"/>
  <c r="O98" i="44"/>
  <c r="P98" i="44"/>
  <c r="Q98" i="44" s="1"/>
  <c r="M98" i="44"/>
  <c r="P2" i="44" l="1"/>
  <c r="Q4" i="44"/>
  <c r="P1" i="44"/>
  <c r="N1" i="44"/>
  <c r="N2" i="44"/>
  <c r="M2" i="44"/>
  <c r="M1" i="44"/>
  <c r="O1" i="44"/>
  <c r="O2" i="44"/>
</calcChain>
</file>

<file path=xl/sharedStrings.xml><?xml version="1.0" encoding="utf-8"?>
<sst xmlns="http://schemas.openxmlformats.org/spreadsheetml/2006/main" count="233" uniqueCount="112">
  <si>
    <t>kN</t>
  </si>
  <si>
    <t>m</t>
  </si>
  <si>
    <t>kNm</t>
  </si>
  <si>
    <t>Unit</t>
  </si>
  <si>
    <t>Direction</t>
  </si>
  <si>
    <t>Student Name:</t>
  </si>
  <si>
    <t>Student Number:</t>
  </si>
  <si>
    <t>School of Civil and Environmental Engineering</t>
  </si>
  <si>
    <t>DIRECTIONS:</t>
  </si>
  <si>
    <t>Tasks</t>
  </si>
  <si>
    <t>Dimensions:</t>
  </si>
  <si>
    <t>Tension</t>
  </si>
  <si>
    <t>F</t>
  </si>
  <si>
    <t>Possible Mark</t>
  </si>
  <si>
    <t>Compr.</t>
  </si>
  <si>
    <t>Clock Wise</t>
  </si>
  <si>
    <t>Anti Clock Wise</t>
  </si>
  <si>
    <t>Tension Top Fibre</t>
  </si>
  <si>
    <t>Tension Bottom Fibre</t>
  </si>
  <si>
    <t>Tension right Fibre</t>
  </si>
  <si>
    <t>Tension left Fibre</t>
  </si>
  <si>
    <t>Zero</t>
  </si>
  <si>
    <t>Positive</t>
  </si>
  <si>
    <t>Negative</t>
  </si>
  <si>
    <t>min</t>
  </si>
  <si>
    <t>max</t>
  </si>
  <si>
    <t>decimal</t>
  </si>
  <si>
    <t>Location</t>
  </si>
  <si>
    <t>Division</t>
  </si>
  <si>
    <t>StudentInput(SNum, FromRight, Min, Max, Divisions, Digits)</t>
  </si>
  <si>
    <t>a</t>
  </si>
  <si>
    <t>b</t>
  </si>
  <si>
    <t>P</t>
  </si>
  <si>
    <t>Ay</t>
  </si>
  <si>
    <t>By</t>
  </si>
  <si>
    <t>w</t>
  </si>
  <si>
    <t>h</t>
  </si>
  <si>
    <t>c</t>
  </si>
  <si>
    <t>kN/m</t>
  </si>
  <si>
    <t>Vac</t>
  </si>
  <si>
    <t>Mc</t>
  </si>
  <si>
    <t>Mmax</t>
  </si>
  <si>
    <t>location</t>
  </si>
  <si>
    <t>Input Selection Criteria</t>
  </si>
  <si>
    <t>Student ID</t>
  </si>
  <si>
    <t>Max</t>
  </si>
  <si>
    <t>Min</t>
  </si>
  <si>
    <t>h/a</t>
  </si>
  <si>
    <t>b/a</t>
  </si>
  <si>
    <t>Enter your answers in the space provided.</t>
  </si>
  <si>
    <t>You must enable macro on your computer.</t>
  </si>
  <si>
    <t>No extension of time or make up task will be given</t>
  </si>
  <si>
    <t>1</t>
  </si>
  <si>
    <t>2</t>
  </si>
  <si>
    <t>3</t>
  </si>
  <si>
    <t>4</t>
  </si>
  <si>
    <t>48349 Structural Analysis</t>
  </si>
  <si>
    <t>5</t>
  </si>
  <si>
    <t>You must complete this task by the due date and time</t>
  </si>
  <si>
    <t>Keep a hard copy of your computations (worked solution)</t>
  </si>
  <si>
    <t>Once you complete the task, you will need to upload this</t>
  </si>
  <si>
    <t>file to nominated folder on UTS_Online.</t>
  </si>
  <si>
    <t>Applied actions:</t>
  </si>
  <si>
    <t>EA</t>
  </si>
  <si>
    <t>EI</t>
  </si>
  <si>
    <t>Left</t>
  </si>
  <si>
    <t>Right</t>
  </si>
  <si>
    <t>Up</t>
  </si>
  <si>
    <t>Down</t>
  </si>
  <si>
    <t>Radians</t>
  </si>
  <si>
    <t>a=</t>
  </si>
  <si>
    <t>b=</t>
  </si>
  <si>
    <t>d=</t>
  </si>
  <si>
    <t>c=</t>
  </si>
  <si>
    <t>∞</t>
  </si>
  <si>
    <r>
      <t>kNm</t>
    </r>
    <r>
      <rPr>
        <vertAlign val="superscript"/>
        <sz val="12"/>
        <rFont val="Arial"/>
        <family val="2"/>
      </rPr>
      <t>2</t>
    </r>
  </si>
  <si>
    <t>d</t>
  </si>
  <si>
    <t>kNm2</t>
  </si>
  <si>
    <t>w=</t>
  </si>
  <si>
    <t>EI=</t>
  </si>
  <si>
    <t>EA=</t>
  </si>
  <si>
    <t>By student ID</t>
  </si>
  <si>
    <t>By Random Gen</t>
  </si>
  <si>
    <t>Range</t>
  </si>
  <si>
    <t>Parameter</t>
  </si>
  <si>
    <t>Units</t>
  </si>
  <si>
    <t>Applied value</t>
  </si>
  <si>
    <t>F=</t>
  </si>
  <si>
    <t>Use the Moment Distribution Method to analyse the frame when subjected to the loading shown.</t>
  </si>
  <si>
    <t>Dimensions and load values, which depend on your student ID, are given in the table below.</t>
  </si>
  <si>
    <t>Determine the member forces and support reactions required in the table below.</t>
  </si>
  <si>
    <t>Absolute Value</t>
  </si>
  <si>
    <t>Result required</t>
  </si>
  <si>
    <t xml:space="preserve">See Note below * </t>
  </si>
  <si>
    <t xml:space="preserve">Note * </t>
  </si>
  <si>
    <t>Use the drop down list to input the units and directions</t>
  </si>
  <si>
    <r>
      <t>Member AD - Moment at D:  M</t>
    </r>
    <r>
      <rPr>
        <vertAlign val="subscript"/>
        <sz val="12"/>
        <rFont val="Arial"/>
        <family val="2"/>
      </rPr>
      <t>DA</t>
    </r>
    <r>
      <rPr>
        <sz val="12"/>
        <rFont val="Arial"/>
        <family val="2"/>
      </rPr>
      <t>=</t>
    </r>
  </si>
  <si>
    <r>
      <t>Member AD - Moment at A: M</t>
    </r>
    <r>
      <rPr>
        <vertAlign val="subscript"/>
        <sz val="12"/>
        <rFont val="Arial"/>
        <family val="2"/>
      </rPr>
      <t>AD</t>
    </r>
    <r>
      <rPr>
        <sz val="12"/>
        <rFont val="Arial"/>
        <family val="2"/>
      </rPr>
      <t>=</t>
    </r>
  </si>
  <si>
    <r>
      <t>Member AD -  Maximum Span Moment MaxM</t>
    </r>
    <r>
      <rPr>
        <vertAlign val="subscript"/>
        <sz val="12"/>
        <rFont val="Arial"/>
        <family val="2"/>
      </rPr>
      <t>AD</t>
    </r>
    <r>
      <rPr>
        <sz val="12"/>
        <rFont val="Arial"/>
        <family val="2"/>
      </rPr>
      <t>=</t>
    </r>
  </si>
  <si>
    <r>
      <t>Member AB - Moment at A:  M</t>
    </r>
    <r>
      <rPr>
        <vertAlign val="subscript"/>
        <sz val="12"/>
        <rFont val="Arial"/>
        <family val="2"/>
      </rPr>
      <t>AB</t>
    </r>
    <r>
      <rPr>
        <sz val="12"/>
        <rFont val="Arial"/>
        <family val="2"/>
      </rPr>
      <t>=</t>
    </r>
  </si>
  <si>
    <r>
      <t>Member AB - Moment at B:  M</t>
    </r>
    <r>
      <rPr>
        <vertAlign val="subscript"/>
        <sz val="12"/>
        <rFont val="Arial"/>
        <family val="2"/>
      </rPr>
      <t>BA</t>
    </r>
    <r>
      <rPr>
        <sz val="12"/>
        <rFont val="Arial"/>
        <family val="2"/>
      </rPr>
      <t>=</t>
    </r>
  </si>
  <si>
    <r>
      <t>Member BC - Moment at B:  M</t>
    </r>
    <r>
      <rPr>
        <vertAlign val="subscript"/>
        <sz val="12"/>
        <rFont val="Arial"/>
        <family val="2"/>
      </rPr>
      <t>BC</t>
    </r>
    <r>
      <rPr>
        <sz val="12"/>
        <rFont val="Arial"/>
        <family val="2"/>
      </rPr>
      <t>=</t>
    </r>
  </si>
  <si>
    <r>
      <t>Member BC - Moment at Point Force F: M</t>
    </r>
    <r>
      <rPr>
        <vertAlign val="subscript"/>
        <sz val="12"/>
        <rFont val="Arial"/>
        <family val="2"/>
      </rPr>
      <t>F</t>
    </r>
    <r>
      <rPr>
        <sz val="12"/>
        <rFont val="Arial"/>
        <family val="2"/>
      </rPr>
      <t>=</t>
    </r>
  </si>
  <si>
    <r>
      <t>Member BE - Moment at B: M</t>
    </r>
    <r>
      <rPr>
        <vertAlign val="subscript"/>
        <sz val="12"/>
        <rFont val="Arial"/>
        <family val="2"/>
      </rPr>
      <t>BE</t>
    </r>
    <r>
      <rPr>
        <sz val="12"/>
        <rFont val="Arial"/>
        <family val="2"/>
      </rPr>
      <t>=</t>
    </r>
  </si>
  <si>
    <r>
      <t>Horizontal Reaction at D:  D</t>
    </r>
    <r>
      <rPr>
        <vertAlign val="subscript"/>
        <sz val="12"/>
        <rFont val="Arial"/>
        <family val="2"/>
      </rPr>
      <t>X</t>
    </r>
    <r>
      <rPr>
        <sz val="12"/>
        <rFont val="Arial"/>
        <family val="2"/>
      </rPr>
      <t>=</t>
    </r>
  </si>
  <si>
    <r>
      <t>Vertictal Reaction at C:  C</t>
    </r>
    <r>
      <rPr>
        <vertAlign val="subscript"/>
        <sz val="12"/>
        <rFont val="Arial"/>
        <family val="2"/>
      </rPr>
      <t>Y</t>
    </r>
    <r>
      <rPr>
        <sz val="12"/>
        <rFont val="Arial"/>
        <family val="2"/>
      </rPr>
      <t>=</t>
    </r>
  </si>
  <si>
    <r>
      <t>kNm</t>
    </r>
    <r>
      <rPr>
        <vertAlign val="superscript"/>
        <sz val="10"/>
        <color theme="0"/>
        <rFont val="Arial"/>
        <family val="2"/>
      </rPr>
      <t>2</t>
    </r>
  </si>
  <si>
    <t>For the maximum span moment, exclude the values at both ends and find the moment where the shear force is equal to Zero</t>
  </si>
  <si>
    <t>eTask 4.1</t>
  </si>
  <si>
    <t>eTask 4.2</t>
  </si>
  <si>
    <t>Total eTask 4</t>
  </si>
  <si>
    <t>Marco Arcidiacono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</si>
</sst>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[$-F800]dddd\,\ mmmm\ dd\,\ yyyy"/>
    <numFmt numFmtId="167" formatCode="0.00000"/>
  </numFmts>
  <fonts count="4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indexed="18"/>
      <name val="Arial"/>
      <family val="2"/>
    </font>
    <font>
      <sz val="12"/>
      <name val="Times New Roman"/>
      <family val="1"/>
    </font>
    <font>
      <b/>
      <sz val="12"/>
      <color indexed="18"/>
      <name val="Times New Roman"/>
      <family val="1"/>
    </font>
    <font>
      <b/>
      <sz val="12"/>
      <name val="Times New Roman"/>
      <family val="1"/>
    </font>
    <font>
      <b/>
      <sz val="14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sz val="11"/>
      <color indexed="10"/>
      <name val="Arial"/>
      <family val="2"/>
    </font>
    <font>
      <sz val="1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name val="Arial"/>
      <family val="2"/>
    </font>
    <font>
      <sz val="12"/>
      <color rgb="FF0066FF"/>
      <name val="Arial"/>
      <family val="2"/>
    </font>
    <font>
      <sz val="10"/>
      <color rgb="FF0066FF"/>
      <name val="Arial"/>
      <family val="2"/>
    </font>
    <font>
      <b/>
      <sz val="10"/>
      <color rgb="FF0066FF"/>
      <name val="Arial"/>
      <family val="2"/>
    </font>
    <font>
      <b/>
      <sz val="12"/>
      <color indexed="18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10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b/>
      <sz val="18"/>
      <color indexed="18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rgb="FF66CCFF"/>
      <name val="Arial"/>
      <family val="2"/>
    </font>
    <font>
      <sz val="10"/>
      <color rgb="FFFFFF99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vertAlign val="superscript"/>
      <sz val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1"/>
      <color rgb="FFFF0000"/>
      <name val="Arial"/>
      <family val="2"/>
    </font>
    <font>
      <vertAlign val="subscript"/>
      <sz val="12"/>
      <name val="Arial"/>
      <family val="2"/>
    </font>
    <font>
      <sz val="12"/>
      <color theme="0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vertAlign val="superscript"/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indexed="64"/>
      </bottom>
      <diagonal/>
    </border>
    <border>
      <left/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/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207">
    <xf numFmtId="0" fontId="0" fillId="0" borderId="0" xfId="0"/>
    <xf numFmtId="14" fontId="6" fillId="2" borderId="0" xfId="0" applyNumberFormat="1" applyFont="1" applyFill="1"/>
    <xf numFmtId="0" fontId="0" fillId="2" borderId="0" xfId="0" applyFill="1"/>
    <xf numFmtId="14" fontId="0" fillId="2" borderId="0" xfId="0" applyNumberFormat="1" applyFill="1"/>
    <xf numFmtId="0" fontId="10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2" fillId="2" borderId="0" xfId="0" applyFont="1" applyFill="1"/>
    <xf numFmtId="0" fontId="11" fillId="2" borderId="0" xfId="0" applyFont="1" applyFill="1" applyAlignment="1">
      <alignment horizontal="center"/>
    </xf>
    <xf numFmtId="0" fontId="13" fillId="2" borderId="0" xfId="0" applyFont="1" applyFill="1" applyAlignment="1">
      <alignment horizontal="right"/>
    </xf>
    <xf numFmtId="0" fontId="8" fillId="2" borderId="0" xfId="0" applyFont="1" applyFill="1"/>
    <xf numFmtId="0" fontId="8" fillId="2" borderId="5" xfId="0" applyFont="1" applyFill="1" applyBorder="1"/>
    <xf numFmtId="49" fontId="14" fillId="2" borderId="0" xfId="0" applyNumberFormat="1" applyFont="1" applyFill="1"/>
    <xf numFmtId="0" fontId="14" fillId="2" borderId="0" xfId="0" applyFont="1" applyFill="1"/>
    <xf numFmtId="0" fontId="15" fillId="2" borderId="0" xfId="0" applyFont="1" applyFill="1"/>
    <xf numFmtId="0" fontId="10" fillId="2" borderId="5" xfId="0" applyFont="1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49" fontId="14" fillId="2" borderId="5" xfId="0" applyNumberFormat="1" applyFont="1" applyFill="1" applyBorder="1"/>
    <xf numFmtId="0" fontId="4" fillId="4" borderId="0" xfId="7" applyFont="1" applyFill="1"/>
    <xf numFmtId="0" fontId="4" fillId="8" borderId="0" xfId="7" applyFont="1" applyFill="1"/>
    <xf numFmtId="0" fontId="5" fillId="8" borderId="0" xfId="7" applyFont="1" applyFill="1"/>
    <xf numFmtId="0" fontId="4" fillId="8" borderId="0" xfId="7" applyFont="1" applyFill="1" applyAlignment="1">
      <alignment horizontal="right"/>
    </xf>
    <xf numFmtId="11" fontId="4" fillId="8" borderId="0" xfId="7" applyNumberFormat="1" applyFont="1" applyFill="1" applyAlignment="1">
      <alignment shrinkToFit="1"/>
    </xf>
    <xf numFmtId="0" fontId="4" fillId="6" borderId="0" xfId="7" applyFont="1" applyFill="1"/>
    <xf numFmtId="0" fontId="4" fillId="7" borderId="10" xfId="7" applyFont="1" applyFill="1" applyBorder="1" applyAlignment="1">
      <alignment vertical="center"/>
    </xf>
    <xf numFmtId="0" fontId="4" fillId="7" borderId="10" xfId="7" applyFont="1" applyFill="1" applyBorder="1" applyAlignment="1">
      <alignment horizontal="right" vertical="center"/>
    </xf>
    <xf numFmtId="0" fontId="0" fillId="9" borderId="0" xfId="0" applyFill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19" fillId="0" borderId="28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4" borderId="10" xfId="7" applyFont="1" applyFill="1" applyBorder="1" applyAlignment="1">
      <alignment horizontal="center"/>
    </xf>
    <xf numFmtId="0" fontId="4" fillId="8" borderId="10" xfId="7" applyFont="1" applyFill="1" applyBorder="1" applyAlignment="1">
      <alignment horizontal="center"/>
    </xf>
    <xf numFmtId="0" fontId="4" fillId="4" borderId="17" xfId="7" applyFont="1" applyFill="1" applyBorder="1" applyAlignment="1">
      <alignment horizontal="center"/>
    </xf>
    <xf numFmtId="0" fontId="4" fillId="4" borderId="16" xfId="7" applyFont="1" applyFill="1" applyBorder="1" applyAlignment="1">
      <alignment horizontal="center"/>
    </xf>
    <xf numFmtId="0" fontId="4" fillId="8" borderId="16" xfId="7" applyFont="1" applyFill="1" applyBorder="1" applyAlignment="1">
      <alignment horizontal="center"/>
    </xf>
    <xf numFmtId="0" fontId="4" fillId="4" borderId="18" xfId="7" applyFont="1" applyFill="1" applyBorder="1" applyAlignment="1">
      <alignment horizontal="center"/>
    </xf>
    <xf numFmtId="0" fontId="4" fillId="4" borderId="22" xfId="7" applyFont="1" applyFill="1" applyBorder="1" applyAlignment="1">
      <alignment horizontal="center"/>
    </xf>
    <xf numFmtId="0" fontId="4" fillId="4" borderId="21" xfId="7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2" fillId="0" borderId="28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0" fillId="4" borderId="29" xfId="7" applyFont="1" applyFill="1" applyBorder="1" applyAlignment="1">
      <alignment horizontal="center"/>
    </xf>
    <xf numFmtId="0" fontId="20" fillId="4" borderId="26" xfId="7" applyFont="1" applyFill="1" applyBorder="1" applyAlignment="1">
      <alignment horizontal="center"/>
    </xf>
    <xf numFmtId="0" fontId="20" fillId="8" borderId="26" xfId="7" applyFont="1" applyFill="1" applyBorder="1" applyAlignment="1">
      <alignment horizontal="center"/>
    </xf>
    <xf numFmtId="0" fontId="20" fillId="4" borderId="27" xfId="7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4" fillId="4" borderId="30" xfId="7" applyFont="1" applyFill="1" applyBorder="1" applyAlignment="1">
      <alignment horizontal="center"/>
    </xf>
    <xf numFmtId="0" fontId="4" fillId="4" borderId="31" xfId="7" applyFont="1" applyFill="1" applyBorder="1" applyAlignment="1">
      <alignment horizontal="center"/>
    </xf>
    <xf numFmtId="0" fontId="4" fillId="4" borderId="32" xfId="7" applyFont="1" applyFill="1" applyBorder="1" applyAlignment="1">
      <alignment horizontal="center"/>
    </xf>
    <xf numFmtId="0" fontId="4" fillId="4" borderId="33" xfId="7" applyFont="1" applyFill="1" applyBorder="1" applyAlignment="1">
      <alignment horizontal="center"/>
    </xf>
    <xf numFmtId="0" fontId="20" fillId="4" borderId="21" xfId="7" applyFont="1" applyFill="1" applyBorder="1" applyAlignment="1">
      <alignment horizontal="center"/>
    </xf>
    <xf numFmtId="0" fontId="20" fillId="4" borderId="16" xfId="7" applyFont="1" applyFill="1" applyBorder="1" applyAlignment="1">
      <alignment horizontal="center"/>
    </xf>
    <xf numFmtId="0" fontId="20" fillId="4" borderId="18" xfId="7" applyFont="1" applyFill="1" applyBorder="1" applyAlignment="1">
      <alignment horizontal="center"/>
    </xf>
    <xf numFmtId="0" fontId="4" fillId="8" borderId="22" xfId="7" applyFont="1" applyFill="1" applyBorder="1" applyAlignment="1">
      <alignment horizontal="center"/>
    </xf>
    <xf numFmtId="0" fontId="4" fillId="8" borderId="17" xfId="7" applyFont="1" applyFill="1" applyBorder="1" applyAlignment="1">
      <alignment horizontal="center"/>
    </xf>
    <xf numFmtId="0" fontId="20" fillId="8" borderId="16" xfId="7" applyFont="1" applyFill="1" applyBorder="1" applyAlignment="1">
      <alignment horizontal="center"/>
    </xf>
    <xf numFmtId="0" fontId="19" fillId="8" borderId="28" xfId="0" applyFont="1" applyFill="1" applyBorder="1" applyAlignment="1">
      <alignment horizontal="center"/>
    </xf>
    <xf numFmtId="165" fontId="4" fillId="8" borderId="10" xfId="7" applyNumberFormat="1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 vertical="center" wrapText="1"/>
    </xf>
    <xf numFmtId="0" fontId="24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/>
    </xf>
    <xf numFmtId="0" fontId="24" fillId="2" borderId="16" xfId="0" applyFont="1" applyFill="1" applyBorder="1" applyAlignment="1">
      <alignment horizontal="center" vertical="center"/>
    </xf>
    <xf numFmtId="0" fontId="25" fillId="2" borderId="0" xfId="0" applyFont="1" applyFill="1"/>
    <xf numFmtId="49" fontId="26" fillId="4" borderId="0" xfId="0" applyNumberFormat="1" applyFont="1" applyFill="1"/>
    <xf numFmtId="49" fontId="26" fillId="2" borderId="4" xfId="0" applyNumberFormat="1" applyFont="1" applyFill="1" applyBorder="1" applyAlignment="1">
      <alignment horizontal="right"/>
    </xf>
    <xf numFmtId="49" fontId="26" fillId="2" borderId="0" xfId="0" applyNumberFormat="1" applyFont="1" applyFill="1"/>
    <xf numFmtId="0" fontId="26" fillId="4" borderId="0" xfId="0" applyFont="1" applyFill="1"/>
    <xf numFmtId="49" fontId="26" fillId="2" borderId="4" xfId="0" applyNumberFormat="1" applyFont="1" applyFill="1" applyBorder="1" applyAlignment="1">
      <alignment horizontal="right" vertical="top"/>
    </xf>
    <xf numFmtId="49" fontId="26" fillId="2" borderId="0" xfId="0" applyNumberFormat="1" applyFont="1" applyFill="1" applyAlignment="1">
      <alignment wrapText="1"/>
    </xf>
    <xf numFmtId="0" fontId="26" fillId="2" borderId="0" xfId="0" applyFont="1" applyFill="1"/>
    <xf numFmtId="0" fontId="27" fillId="2" borderId="0" xfId="0" applyFont="1" applyFill="1"/>
    <xf numFmtId="0" fontId="27" fillId="2" borderId="4" xfId="0" applyFont="1" applyFill="1" applyBorder="1"/>
    <xf numFmtId="0" fontId="29" fillId="2" borderId="0" xfId="0" applyFont="1" applyFill="1"/>
    <xf numFmtId="0" fontId="30" fillId="2" borderId="0" xfId="0" applyFont="1" applyFill="1" applyAlignment="1">
      <alignment horizontal="center"/>
    </xf>
    <xf numFmtId="0" fontId="29" fillId="2" borderId="0" xfId="0" applyFont="1" applyFill="1" applyAlignment="1">
      <alignment horizontal="left"/>
    </xf>
    <xf numFmtId="0" fontId="31" fillId="2" borderId="10" xfId="0" applyFont="1" applyFill="1" applyBorder="1" applyAlignment="1">
      <alignment horizontal="center" vertical="center" wrapText="1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/>
    </xf>
    <xf numFmtId="0" fontId="31" fillId="2" borderId="34" xfId="0" applyFont="1" applyFill="1" applyBorder="1" applyAlignment="1">
      <alignment horizontal="center"/>
    </xf>
    <xf numFmtId="0" fontId="31" fillId="2" borderId="35" xfId="0" applyFont="1" applyFill="1" applyBorder="1" applyAlignment="1">
      <alignment horizontal="center"/>
    </xf>
    <xf numFmtId="0" fontId="24" fillId="2" borderId="20" xfId="0" applyFont="1" applyFill="1" applyBorder="1" applyAlignment="1">
      <alignment horizontal="center" vertical="center" wrapText="1"/>
    </xf>
    <xf numFmtId="0" fontId="24" fillId="2" borderId="22" xfId="0" applyFont="1" applyFill="1" applyBorder="1" applyAlignment="1">
      <alignment horizontal="center" vertical="center" wrapText="1"/>
    </xf>
    <xf numFmtId="0" fontId="31" fillId="2" borderId="22" xfId="0" applyFont="1" applyFill="1" applyBorder="1" applyAlignment="1">
      <alignment horizontal="center" vertical="center" wrapText="1"/>
    </xf>
    <xf numFmtId="0" fontId="24" fillId="2" borderId="21" xfId="0" applyFont="1" applyFill="1" applyBorder="1" applyAlignment="1">
      <alignment horizontal="center" vertical="center" wrapText="1"/>
    </xf>
    <xf numFmtId="0" fontId="1" fillId="4" borderId="0" xfId="7" applyFill="1"/>
    <xf numFmtId="0" fontId="19" fillId="8" borderId="1" xfId="7" applyFont="1" applyFill="1" applyBorder="1" applyAlignment="1">
      <alignment horizontal="left"/>
    </xf>
    <xf numFmtId="0" fontId="1" fillId="5" borderId="10" xfId="7" applyFill="1" applyBorder="1" applyProtection="1">
      <protection locked="0"/>
    </xf>
    <xf numFmtId="9" fontId="32" fillId="6" borderId="0" xfId="7" applyNumberFormat="1" applyFont="1" applyFill="1"/>
    <xf numFmtId="0" fontId="1" fillId="6" borderId="0" xfId="7" applyFill="1"/>
    <xf numFmtId="0" fontId="1" fillId="8" borderId="0" xfId="7" applyFill="1"/>
    <xf numFmtId="0" fontId="1" fillId="8" borderId="0" xfId="7" applyFill="1" applyAlignment="1">
      <alignment horizontal="right"/>
    </xf>
    <xf numFmtId="0" fontId="1" fillId="4" borderId="0" xfId="7" applyFill="1" applyAlignment="1">
      <alignment horizontal="right"/>
    </xf>
    <xf numFmtId="0" fontId="1" fillId="0" borderId="0" xfId="7"/>
    <xf numFmtId="0" fontId="1" fillId="0" borderId="0" xfId="7" applyAlignment="1">
      <alignment horizontal="right"/>
    </xf>
    <xf numFmtId="11" fontId="1" fillId="0" borderId="0" xfId="7" applyNumberFormat="1" applyAlignment="1">
      <alignment shrinkToFit="1"/>
    </xf>
    <xf numFmtId="0" fontId="19" fillId="4" borderId="0" xfId="7" applyFont="1" applyFill="1"/>
    <xf numFmtId="164" fontId="1" fillId="0" borderId="0" xfId="2" applyNumberFormat="1" applyFont="1" applyFill="1" applyBorder="1" applyAlignment="1" applyProtection="1">
      <alignment horizontal="center"/>
    </xf>
    <xf numFmtId="165" fontId="1" fillId="0" borderId="0" xfId="7" applyNumberFormat="1"/>
    <xf numFmtId="9" fontId="1" fillId="0" borderId="0" xfId="2" applyFont="1" applyFill="1" applyBorder="1" applyProtection="1"/>
    <xf numFmtId="167" fontId="1" fillId="0" borderId="0" xfId="7" applyNumberFormat="1" applyAlignment="1">
      <alignment horizontal="right"/>
    </xf>
    <xf numFmtId="0" fontId="1" fillId="0" borderId="0" xfId="7" applyAlignment="1">
      <alignment horizontal="center"/>
    </xf>
    <xf numFmtId="165" fontId="19" fillId="0" borderId="0" xfId="7" applyNumberFormat="1" applyFont="1" applyAlignment="1">
      <alignment horizontal="center"/>
    </xf>
    <xf numFmtId="165" fontId="1" fillId="0" borderId="0" xfId="7" applyNumberFormat="1" applyAlignment="1">
      <alignment horizontal="center"/>
    </xf>
    <xf numFmtId="165" fontId="1" fillId="0" borderId="0" xfId="7" applyNumberFormat="1" applyAlignment="1">
      <alignment horizontal="right"/>
    </xf>
    <xf numFmtId="165" fontId="1" fillId="4" borderId="0" xfId="7" applyNumberFormat="1" applyFill="1" applyAlignment="1">
      <alignment horizontal="right"/>
    </xf>
    <xf numFmtId="165" fontId="1" fillId="4" borderId="0" xfId="7" applyNumberFormat="1" applyFill="1" applyAlignment="1">
      <alignment horizontal="center"/>
    </xf>
    <xf numFmtId="0" fontId="7" fillId="3" borderId="0" xfId="0" applyFont="1" applyFill="1"/>
    <xf numFmtId="0" fontId="0" fillId="2" borderId="5" xfId="0" applyFill="1" applyBorder="1" applyAlignment="1">
      <alignment wrapText="1"/>
    </xf>
    <xf numFmtId="0" fontId="1" fillId="6" borderId="0" xfId="7" applyFill="1" applyProtection="1">
      <protection hidden="1"/>
    </xf>
    <xf numFmtId="0" fontId="1" fillId="4" borderId="0" xfId="7" applyFill="1" applyProtection="1">
      <protection hidden="1"/>
    </xf>
    <xf numFmtId="0" fontId="1" fillId="0" borderId="0" xfId="7" applyProtection="1">
      <protection hidden="1"/>
    </xf>
    <xf numFmtId="0" fontId="1" fillId="0" borderId="0" xfId="7" applyAlignment="1" applyProtection="1">
      <alignment horizontal="right"/>
      <protection hidden="1"/>
    </xf>
    <xf numFmtId="11" fontId="1" fillId="0" borderId="0" xfId="7" applyNumberFormat="1" applyAlignment="1" applyProtection="1">
      <alignment shrinkToFit="1"/>
      <protection hidden="1"/>
    </xf>
    <xf numFmtId="0" fontId="19" fillId="0" borderId="0" xfId="7" applyFont="1" applyProtection="1">
      <protection hidden="1"/>
    </xf>
    <xf numFmtId="0" fontId="19" fillId="4" borderId="0" xfId="7" applyFont="1" applyFill="1" applyProtection="1">
      <protection hidden="1"/>
    </xf>
    <xf numFmtId="164" fontId="1" fillId="0" borderId="0" xfId="2" applyNumberFormat="1" applyFont="1" applyFill="1" applyBorder="1" applyAlignment="1" applyProtection="1">
      <alignment horizontal="center"/>
      <protection hidden="1"/>
    </xf>
    <xf numFmtId="165" fontId="1" fillId="0" borderId="0" xfId="7" applyNumberFormat="1" applyProtection="1">
      <protection hidden="1"/>
    </xf>
    <xf numFmtId="165" fontId="19" fillId="0" borderId="0" xfId="7" applyNumberFormat="1" applyFont="1" applyAlignment="1" applyProtection="1">
      <alignment horizontal="center"/>
      <protection hidden="1"/>
    </xf>
    <xf numFmtId="0" fontId="1" fillId="0" borderId="0" xfId="7" applyAlignment="1" applyProtection="1">
      <alignment horizontal="center"/>
      <protection hidden="1"/>
    </xf>
    <xf numFmtId="9" fontId="1" fillId="0" borderId="0" xfId="2" applyFont="1" applyFill="1" applyBorder="1" applyProtection="1">
      <protection hidden="1"/>
    </xf>
    <xf numFmtId="0" fontId="34" fillId="6" borderId="0" xfId="7" applyFont="1" applyFill="1" applyProtection="1">
      <protection hidden="1"/>
    </xf>
    <xf numFmtId="0" fontId="4" fillId="8" borderId="0" xfId="7" applyFont="1" applyFill="1" applyAlignment="1">
      <alignment horizontal="right" vertical="center"/>
    </xf>
    <xf numFmtId="0" fontId="4" fillId="8" borderId="0" xfId="7" applyFont="1" applyFill="1" applyAlignment="1">
      <alignment vertical="center"/>
    </xf>
    <xf numFmtId="0" fontId="36" fillId="6" borderId="0" xfId="7" applyFont="1" applyFill="1"/>
    <xf numFmtId="0" fontId="36" fillId="4" borderId="0" xfId="7" applyFont="1" applyFill="1"/>
    <xf numFmtId="0" fontId="36" fillId="0" borderId="0" xfId="7" applyFont="1"/>
    <xf numFmtId="0" fontId="19" fillId="8" borderId="2" xfId="7" applyFont="1" applyFill="1" applyBorder="1"/>
    <xf numFmtId="0" fontId="19" fillId="8" borderId="3" xfId="7" applyFont="1" applyFill="1" applyBorder="1"/>
    <xf numFmtId="0" fontId="1" fillId="5" borderId="16" xfId="7" applyFill="1" applyBorder="1" applyProtection="1">
      <protection locked="0"/>
    </xf>
    <xf numFmtId="0" fontId="36" fillId="0" borderId="0" xfId="7" applyFont="1" applyProtection="1">
      <protection hidden="1"/>
    </xf>
    <xf numFmtId="0" fontId="36" fillId="0" borderId="0" xfId="7" applyFont="1" applyAlignment="1" applyProtection="1">
      <alignment horizontal="right"/>
      <protection hidden="1"/>
    </xf>
    <xf numFmtId="0" fontId="33" fillId="4" borderId="0" xfId="7" applyFont="1" applyFill="1"/>
    <xf numFmtId="0" fontId="33" fillId="4" borderId="0" xfId="7" quotePrefix="1" applyFont="1" applyFill="1"/>
    <xf numFmtId="0" fontId="1" fillId="5" borderId="9" xfId="7" applyFill="1" applyBorder="1" applyProtection="1">
      <protection locked="0"/>
    </xf>
    <xf numFmtId="0" fontId="1" fillId="5" borderId="19" xfId="7" applyFill="1" applyBorder="1" applyProtection="1">
      <protection locked="0"/>
    </xf>
    <xf numFmtId="0" fontId="1" fillId="5" borderId="17" xfId="7" applyFill="1" applyBorder="1" applyProtection="1">
      <protection locked="0"/>
    </xf>
    <xf numFmtId="0" fontId="1" fillId="5" borderId="18" xfId="7" applyFill="1" applyBorder="1" applyProtection="1">
      <protection locked="0"/>
    </xf>
    <xf numFmtId="0" fontId="4" fillId="5" borderId="10" xfId="7" applyFont="1" applyFill="1" applyBorder="1" applyProtection="1">
      <protection locked="0"/>
    </xf>
    <xf numFmtId="0" fontId="4" fillId="5" borderId="19" xfId="7" applyFont="1" applyFill="1" applyBorder="1" applyProtection="1">
      <protection locked="0"/>
    </xf>
    <xf numFmtId="0" fontId="4" fillId="5" borderId="17" xfId="7" applyFont="1" applyFill="1" applyBorder="1" applyProtection="1">
      <protection locked="0"/>
    </xf>
    <xf numFmtId="0" fontId="4" fillId="5" borderId="9" xfId="7" applyFont="1" applyFill="1" applyBorder="1" applyProtection="1">
      <protection locked="0"/>
    </xf>
    <xf numFmtId="0" fontId="4" fillId="5" borderId="16" xfId="7" applyFont="1" applyFill="1" applyBorder="1" applyProtection="1">
      <protection locked="0"/>
    </xf>
    <xf numFmtId="0" fontId="4" fillId="8" borderId="20" xfId="7" applyFont="1" applyFill="1" applyBorder="1" applyAlignment="1">
      <alignment horizontal="left"/>
    </xf>
    <xf numFmtId="0" fontId="4" fillId="8" borderId="22" xfId="7" applyFont="1" applyFill="1" applyBorder="1" applyAlignment="1">
      <alignment horizontal="left"/>
    </xf>
    <xf numFmtId="0" fontId="4" fillId="8" borderId="21" xfId="7" applyFont="1" applyFill="1" applyBorder="1" applyAlignment="1">
      <alignment horizontal="left"/>
    </xf>
    <xf numFmtId="0" fontId="4" fillId="5" borderId="9" xfId="7" applyFont="1" applyFill="1" applyBorder="1" applyAlignment="1" applyProtection="1">
      <alignment horizontal="center"/>
      <protection locked="0"/>
    </xf>
    <xf numFmtId="0" fontId="4" fillId="5" borderId="10" xfId="7" applyFont="1" applyFill="1" applyBorder="1" applyAlignment="1" applyProtection="1">
      <alignment horizontal="center"/>
      <protection locked="0"/>
    </xf>
    <xf numFmtId="0" fontId="4" fillId="5" borderId="16" xfId="7" applyFont="1" applyFill="1" applyBorder="1" applyAlignment="1" applyProtection="1">
      <alignment horizontal="center"/>
      <protection locked="0"/>
    </xf>
    <xf numFmtId="0" fontId="4" fillId="5" borderId="18" xfId="7" applyFont="1" applyFill="1" applyBorder="1" applyProtection="1">
      <protection locked="0"/>
    </xf>
    <xf numFmtId="0" fontId="36" fillId="8" borderId="0" xfId="7" applyFont="1" applyFill="1" applyAlignment="1">
      <alignment horizontal="right"/>
    </xf>
    <xf numFmtId="0" fontId="35" fillId="8" borderId="0" xfId="7" applyFont="1" applyFill="1" applyAlignment="1">
      <alignment horizontal="right"/>
    </xf>
    <xf numFmtId="0" fontId="35" fillId="8" borderId="0" xfId="7" applyFont="1" applyFill="1"/>
    <xf numFmtId="0" fontId="28" fillId="2" borderId="24" xfId="0" applyFont="1" applyFill="1" applyBorder="1"/>
    <xf numFmtId="0" fontId="1" fillId="2" borderId="25" xfId="0" applyFont="1" applyFill="1" applyBorder="1"/>
    <xf numFmtId="0" fontId="8" fillId="2" borderId="25" xfId="0" applyFont="1" applyFill="1" applyBorder="1"/>
    <xf numFmtId="0" fontId="8" fillId="2" borderId="23" xfId="0" applyFont="1" applyFill="1" applyBorder="1"/>
    <xf numFmtId="0" fontId="19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49" fontId="38" fillId="4" borderId="0" xfId="0" applyNumberFormat="1" applyFont="1" applyFill="1"/>
    <xf numFmtId="0" fontId="39" fillId="2" borderId="0" xfId="0" applyFont="1" applyFill="1"/>
    <xf numFmtId="0" fontId="40" fillId="2" borderId="6" xfId="0" applyFont="1" applyFill="1" applyBorder="1"/>
    <xf numFmtId="0" fontId="35" fillId="2" borderId="7" xfId="0" applyFont="1" applyFill="1" applyBorder="1"/>
    <xf numFmtId="0" fontId="34" fillId="4" borderId="0" xfId="7" applyFont="1" applyFill="1"/>
    <xf numFmtId="0" fontId="43" fillId="4" borderId="0" xfId="0" applyFont="1" applyFill="1" applyAlignment="1">
      <alignment horizontal="right"/>
    </xf>
    <xf numFmtId="0" fontId="44" fillId="4" borderId="0" xfId="0" applyFont="1" applyFill="1" applyAlignment="1">
      <alignment horizontal="center"/>
    </xf>
    <xf numFmtId="0" fontId="44" fillId="4" borderId="0" xfId="0" applyFont="1" applyFill="1"/>
    <xf numFmtId="0" fontId="34" fillId="4" borderId="0" xfId="0" applyFont="1" applyFill="1"/>
    <xf numFmtId="0" fontId="43" fillId="4" borderId="0" xfId="0" applyFont="1" applyFill="1"/>
    <xf numFmtId="0" fontId="44" fillId="4" borderId="0" xfId="0" applyFont="1" applyFill="1" applyAlignment="1">
      <alignment horizontal="right"/>
    </xf>
    <xf numFmtId="0" fontId="34" fillId="4" borderId="0" xfId="0" applyFont="1" applyFill="1" applyAlignment="1">
      <alignment horizontal="center"/>
    </xf>
    <xf numFmtId="1" fontId="34" fillId="4" borderId="0" xfId="0" applyNumberFormat="1" applyFont="1" applyFill="1" applyAlignment="1">
      <alignment horizontal="center"/>
    </xf>
    <xf numFmtId="165" fontId="34" fillId="4" borderId="0" xfId="0" applyNumberFormat="1" applyFont="1" applyFill="1" applyAlignment="1">
      <alignment horizontal="center"/>
    </xf>
    <xf numFmtId="11" fontId="34" fillId="4" borderId="0" xfId="0" applyNumberFormat="1" applyFont="1" applyFill="1" applyAlignment="1">
      <alignment horizontal="center"/>
    </xf>
    <xf numFmtId="11" fontId="34" fillId="4" borderId="0" xfId="0" applyNumberFormat="1" applyFont="1" applyFill="1"/>
    <xf numFmtId="0" fontId="42" fillId="4" borderId="0" xfId="7" applyFont="1" applyFill="1"/>
    <xf numFmtId="11" fontId="34" fillId="4" borderId="0" xfId="7" applyNumberFormat="1" applyFont="1" applyFill="1"/>
    <xf numFmtId="0" fontId="34" fillId="4" borderId="0" xfId="7" applyFont="1" applyFill="1" applyProtection="1">
      <protection hidden="1"/>
    </xf>
    <xf numFmtId="0" fontId="34" fillId="4" borderId="0" xfId="7" applyFont="1" applyFill="1" applyAlignment="1" applyProtection="1">
      <alignment horizontal="right"/>
      <protection hidden="1"/>
    </xf>
    <xf numFmtId="11" fontId="42" fillId="4" borderId="0" xfId="7" applyNumberFormat="1" applyFont="1" applyFill="1"/>
    <xf numFmtId="166" fontId="13" fillId="2" borderId="0" xfId="0" applyNumberFormat="1" applyFont="1" applyFill="1" applyAlignment="1">
      <alignment horizontal="left"/>
    </xf>
    <xf numFmtId="0" fontId="23" fillId="2" borderId="20" xfId="0" applyFont="1" applyFill="1" applyBorder="1" applyAlignment="1">
      <alignment horizontal="center" wrapText="1"/>
    </xf>
    <xf numFmtId="0" fontId="23" fillId="2" borderId="21" xfId="0" applyFont="1" applyFill="1" applyBorder="1" applyAlignment="1">
      <alignment horizontal="center" wrapText="1"/>
    </xf>
    <xf numFmtId="0" fontId="23" fillId="2" borderId="9" xfId="0" applyFont="1" applyFill="1" applyBorder="1" applyAlignment="1">
      <alignment horizontal="center" wrapText="1"/>
    </xf>
    <xf numFmtId="0" fontId="23" fillId="2" borderId="16" xfId="0" applyFont="1" applyFill="1" applyBorder="1" applyAlignment="1">
      <alignment horizontal="center" wrapText="1"/>
    </xf>
    <xf numFmtId="0" fontId="9" fillId="2" borderId="15" xfId="0" applyFont="1" applyFill="1" applyBorder="1" applyAlignment="1">
      <alignment horizontal="center"/>
    </xf>
    <xf numFmtId="0" fontId="24" fillId="2" borderId="12" xfId="0" applyFont="1" applyFill="1" applyBorder="1" applyAlignment="1">
      <alignment horizontal="right"/>
    </xf>
    <xf numFmtId="0" fontId="24" fillId="2" borderId="14" xfId="0" applyFont="1" applyFill="1" applyBorder="1" applyAlignment="1">
      <alignment horizontal="right"/>
    </xf>
    <xf numFmtId="0" fontId="23" fillId="2" borderId="13" xfId="0" applyFont="1" applyFill="1" applyBorder="1" applyAlignment="1" applyProtection="1">
      <alignment horizontal="center"/>
      <protection locked="0"/>
    </xf>
    <xf numFmtId="0" fontId="23" fillId="2" borderId="14" xfId="0" applyFont="1" applyFill="1" applyBorder="1" applyAlignment="1" applyProtection="1">
      <alignment horizontal="center"/>
      <protection locked="0"/>
    </xf>
    <xf numFmtId="0" fontId="8" fillId="2" borderId="15" xfId="0" applyFont="1" applyFill="1" applyBorder="1" applyAlignment="1">
      <alignment horizontal="right"/>
    </xf>
    <xf numFmtId="0" fontId="1" fillId="8" borderId="0" xfId="7" applyFill="1" applyAlignment="1">
      <alignment horizontal="center" shrinkToFit="1"/>
    </xf>
    <xf numFmtId="0" fontId="5" fillId="8" borderId="1" xfId="7" applyFont="1" applyFill="1" applyBorder="1" applyAlignment="1">
      <alignment horizontal="center"/>
    </xf>
    <xf numFmtId="0" fontId="5" fillId="8" borderId="2" xfId="7" applyFont="1" applyFill="1" applyBorder="1" applyAlignment="1">
      <alignment horizontal="center"/>
    </xf>
    <xf numFmtId="0" fontId="5" fillId="8" borderId="3" xfId="7" applyFont="1" applyFill="1" applyBorder="1" applyAlignment="1">
      <alignment horizontal="center"/>
    </xf>
    <xf numFmtId="0" fontId="5" fillId="8" borderId="6" xfId="7" applyFont="1" applyFill="1" applyBorder="1" applyAlignment="1">
      <alignment horizontal="center"/>
    </xf>
    <xf numFmtId="0" fontId="5" fillId="8" borderId="7" xfId="7" applyFont="1" applyFill="1" applyBorder="1" applyAlignment="1">
      <alignment horizontal="center"/>
    </xf>
    <xf numFmtId="0" fontId="5" fillId="8" borderId="8" xfId="7" applyFont="1" applyFill="1" applyBorder="1" applyAlignment="1">
      <alignment horizontal="center"/>
    </xf>
    <xf numFmtId="0" fontId="1" fillId="8" borderId="0" xfId="7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10">
    <cellStyle name="Followed Hyperlink" xfId="9" builtinId="9" hidden="1"/>
    <cellStyle name="Hyperlink" xfId="8" builtinId="8" hidden="1"/>
    <cellStyle name="Normal" xfId="0" builtinId="0"/>
    <cellStyle name="Normal 2" xfId="1" xr:uid="{00000000-0005-0000-0000-000003000000}"/>
    <cellStyle name="Normal 3" xfId="7" xr:uid="{00000000-0005-0000-0000-000004000000}"/>
    <cellStyle name="Per cent" xfId="2" builtinId="5"/>
    <cellStyle name="Percent 2" xfId="3" xr:uid="{00000000-0005-0000-0000-000006000000}"/>
    <cellStyle name="Percent 3" xfId="4" xr:uid="{00000000-0005-0000-0000-000007000000}"/>
    <cellStyle name="Percent 4" xfId="6" xr:uid="{00000000-0005-0000-0000-000008000000}"/>
    <cellStyle name="Percent 5" xfId="5" xr:uid="{00000000-0005-0000-0000-000009000000}"/>
  </cellStyles>
  <dxfs count="0"/>
  <tableStyles count="0" defaultTableStyle="TableStyleMedium2" defaultPivotStyle="PivotStyleLight16"/>
  <colors>
    <mruColors>
      <color rgb="FFFFFFCC"/>
      <color rgb="FF00FF99"/>
      <color rgb="FFFFFF66"/>
      <color rgb="FF0066FF"/>
      <color rgb="FF99CCFF"/>
      <color rgb="FF66CCFF"/>
      <color rgb="FFFFFF99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99695</xdr:rowOff>
    </xdr:from>
    <xdr:to>
      <xdr:col>3</xdr:col>
      <xdr:colOff>2076</xdr:colOff>
      <xdr:row>4</xdr:row>
      <xdr:rowOff>55244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926B95-39AF-4ED1-ACE2-81FCB4E64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8445"/>
          <a:ext cx="2059476" cy="546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430305</xdr:colOff>
      <xdr:row>8</xdr:row>
      <xdr:rowOff>154320</xdr:rowOff>
    </xdr:from>
    <xdr:to>
      <xdr:col>8</xdr:col>
      <xdr:colOff>26894</xdr:colOff>
      <xdr:row>24</xdr:row>
      <xdr:rowOff>80683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265705" y="1741820"/>
          <a:ext cx="7305489" cy="2948963"/>
          <a:chOff x="6096000" y="1763486"/>
          <a:chExt cx="6172200" cy="283028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6096000" y="1763486"/>
            <a:ext cx="6172200" cy="28302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pic>
        <xdr:nvPicPr>
          <xdr:cNvPr id="3" name="Picture 678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11400" y="1783958"/>
            <a:ext cx="6141400" cy="27893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482599</xdr:colOff>
      <xdr:row>8</xdr:row>
      <xdr:rowOff>142357</xdr:rowOff>
    </xdr:from>
    <xdr:to>
      <xdr:col>8</xdr:col>
      <xdr:colOff>372532</xdr:colOff>
      <xdr:row>24</xdr:row>
      <xdr:rowOff>21333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292599" y="1729857"/>
          <a:ext cx="7179733" cy="3015876"/>
          <a:chOff x="11452091" y="757197"/>
          <a:chExt cx="6454589" cy="2992291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11452091" y="757197"/>
            <a:ext cx="6454589" cy="299229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pic>
        <xdr:nvPicPr>
          <xdr:cNvPr id="3" name="Picture 415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59935" y="776967"/>
            <a:ext cx="6438901" cy="2952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104775</xdr:colOff>
      <xdr:row>14</xdr:row>
      <xdr:rowOff>114301</xdr:rowOff>
    </xdr:from>
    <xdr:to>
      <xdr:col>24</xdr:col>
      <xdr:colOff>12660</xdr:colOff>
      <xdr:row>31</xdr:row>
      <xdr:rowOff>123826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00" y="2705101"/>
          <a:ext cx="5308560" cy="2762250"/>
        </a:xfrm>
        <a:prstGeom prst="rect">
          <a:avLst/>
        </a:prstGeom>
        <a:ln w="3175"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4"/>
  </sheetPr>
  <dimension ref="A1:Z39"/>
  <sheetViews>
    <sheetView topLeftCell="A3" workbookViewId="0">
      <selection activeCell="F3" sqref="F3:G3"/>
    </sheetView>
  </sheetViews>
  <sheetFormatPr baseColWidth="10" defaultColWidth="8.83203125" defaultRowHeight="13" x14ac:dyDescent="0.15"/>
  <cols>
    <col min="1" max="1" width="11.1640625" style="19" customWidth="1"/>
    <col min="2" max="2" width="11.5" style="19" customWidth="1"/>
    <col min="3" max="3" width="6.83203125" style="19" customWidth="1"/>
    <col min="4" max="4" width="15.83203125" style="19" customWidth="1"/>
    <col min="5" max="5" width="15.1640625" style="19" customWidth="1"/>
    <col min="6" max="6" width="35.83203125" style="19" customWidth="1"/>
    <col min="7" max="16384" width="8.83203125" style="19"/>
  </cols>
  <sheetData>
    <row r="1" spans="1:26" x14ac:dyDescent="0.15">
      <c r="A1" s="1"/>
      <c r="B1" s="2"/>
      <c r="C1" s="2"/>
      <c r="D1" s="2"/>
      <c r="E1" s="2"/>
      <c r="F1" s="2"/>
      <c r="G1" s="2"/>
      <c r="H1" s="2"/>
      <c r="Z1" s="112"/>
    </row>
    <row r="2" spans="1:26" ht="16" x14ac:dyDescent="0.2">
      <c r="A2" s="3"/>
      <c r="B2" s="2"/>
      <c r="C2" s="2"/>
      <c r="D2" s="195"/>
      <c r="E2" s="195"/>
      <c r="F2" s="190"/>
      <c r="G2" s="190"/>
      <c r="H2" s="2"/>
      <c r="Z2" s="112"/>
    </row>
    <row r="3" spans="1:26" ht="16" x14ac:dyDescent="0.2">
      <c r="A3" s="2"/>
      <c r="B3" s="2"/>
      <c r="C3" s="2"/>
      <c r="D3" s="191" t="s">
        <v>5</v>
      </c>
      <c r="E3" s="192"/>
      <c r="F3" s="193" t="s">
        <v>111</v>
      </c>
      <c r="G3" s="194"/>
      <c r="H3" s="2"/>
      <c r="Z3" s="112"/>
    </row>
    <row r="4" spans="1:26" ht="16" x14ac:dyDescent="0.2">
      <c r="A4" s="2"/>
      <c r="B4" s="2"/>
      <c r="C4" s="2"/>
      <c r="D4" s="191" t="s">
        <v>6</v>
      </c>
      <c r="E4" s="192"/>
      <c r="F4" s="193">
        <v>24458491</v>
      </c>
      <c r="G4" s="194"/>
      <c r="H4" s="2"/>
    </row>
    <row r="5" spans="1:26" x14ac:dyDescent="0.15">
      <c r="A5" s="2"/>
      <c r="B5" s="2"/>
      <c r="C5" s="2"/>
      <c r="D5" s="2"/>
      <c r="E5" s="2"/>
      <c r="F5" s="2"/>
      <c r="G5" s="2"/>
      <c r="H5" s="2"/>
    </row>
    <row r="6" spans="1:26" ht="16" x14ac:dyDescent="0.2">
      <c r="A6" s="2"/>
      <c r="B6" s="2"/>
      <c r="C6" s="2"/>
      <c r="D6" s="4"/>
      <c r="E6" s="2"/>
      <c r="F6" s="2"/>
      <c r="G6" s="2"/>
      <c r="H6" s="2"/>
    </row>
    <row r="7" spans="1:26" ht="16" x14ac:dyDescent="0.2">
      <c r="A7" s="2"/>
      <c r="B7" s="2"/>
      <c r="C7" s="2"/>
      <c r="D7" s="4"/>
      <c r="E7" s="2"/>
      <c r="F7" s="2"/>
      <c r="G7" s="2"/>
      <c r="H7" s="2"/>
    </row>
    <row r="8" spans="1:26" ht="24" x14ac:dyDescent="0.3">
      <c r="A8" s="2"/>
      <c r="B8" s="78" t="s">
        <v>7</v>
      </c>
      <c r="C8" s="2"/>
      <c r="D8" s="2"/>
      <c r="E8" s="2"/>
      <c r="F8" s="2"/>
      <c r="G8" s="2"/>
      <c r="H8" s="2"/>
    </row>
    <row r="9" spans="1:26" ht="19.5" customHeight="1" x14ac:dyDescent="0.3">
      <c r="A9" s="2"/>
      <c r="B9" s="79"/>
      <c r="C9" s="2"/>
      <c r="D9" s="6"/>
      <c r="E9" s="2"/>
      <c r="F9" s="2"/>
      <c r="G9" s="2"/>
      <c r="H9" s="2"/>
    </row>
    <row r="10" spans="1:26" ht="15" customHeight="1" x14ac:dyDescent="0.3">
      <c r="A10" s="2"/>
      <c r="B10" s="79"/>
      <c r="C10" s="2"/>
      <c r="D10" s="5"/>
      <c r="E10" s="2"/>
      <c r="F10" s="2"/>
      <c r="G10" s="2"/>
      <c r="H10" s="2"/>
    </row>
    <row r="11" spans="1:26" ht="18.75" customHeight="1" x14ac:dyDescent="0.3">
      <c r="A11" s="2"/>
      <c r="B11" s="80" t="s">
        <v>56</v>
      </c>
      <c r="C11" s="7"/>
      <c r="D11" s="8"/>
      <c r="E11" s="7"/>
      <c r="F11" s="2"/>
      <c r="G11" s="2"/>
      <c r="H11" s="2"/>
    </row>
    <row r="12" spans="1:26" ht="16" x14ac:dyDescent="0.2">
      <c r="A12" s="2"/>
      <c r="B12" s="2"/>
      <c r="C12" s="9"/>
      <c r="D12" s="185"/>
      <c r="E12" s="185"/>
      <c r="F12" s="2"/>
      <c r="G12" s="2"/>
      <c r="H12" s="2"/>
    </row>
    <row r="13" spans="1:26" ht="17" thickBot="1" x14ac:dyDescent="0.25">
      <c r="A13" s="2"/>
      <c r="B13" s="10"/>
      <c r="C13" s="2"/>
      <c r="D13" s="2"/>
      <c r="E13" s="2"/>
      <c r="F13" s="2"/>
      <c r="G13" s="2"/>
      <c r="H13" s="2"/>
    </row>
    <row r="14" spans="1:26" ht="20" thickBot="1" x14ac:dyDescent="0.3">
      <c r="A14" s="2"/>
      <c r="B14" s="158" t="s">
        <v>8</v>
      </c>
      <c r="C14" s="159"/>
      <c r="D14" s="160"/>
      <c r="E14" s="160"/>
      <c r="F14" s="161"/>
      <c r="G14" s="2"/>
      <c r="H14" s="2"/>
    </row>
    <row r="15" spans="1:26" ht="16" x14ac:dyDescent="0.2">
      <c r="A15" s="2"/>
      <c r="B15" s="70" t="s">
        <v>52</v>
      </c>
      <c r="C15" s="71"/>
      <c r="D15" s="69" t="s">
        <v>50</v>
      </c>
      <c r="E15" s="10"/>
      <c r="F15" s="11"/>
      <c r="G15" s="10"/>
      <c r="H15" s="10"/>
    </row>
    <row r="16" spans="1:26" ht="16" x14ac:dyDescent="0.2">
      <c r="A16" s="2"/>
      <c r="B16" s="70"/>
      <c r="C16" s="71"/>
      <c r="D16" s="69"/>
      <c r="E16" s="14"/>
      <c r="F16" s="11"/>
      <c r="G16" s="10"/>
      <c r="H16" s="10"/>
    </row>
    <row r="17" spans="1:8" ht="16" x14ac:dyDescent="0.2">
      <c r="A17" s="2"/>
      <c r="B17" s="70" t="s">
        <v>53</v>
      </c>
      <c r="C17" s="71"/>
      <c r="D17" s="69" t="s">
        <v>58</v>
      </c>
      <c r="E17" s="14"/>
      <c r="F17" s="15"/>
      <c r="G17" s="10"/>
      <c r="H17" s="10"/>
    </row>
    <row r="18" spans="1:8" ht="16" x14ac:dyDescent="0.2">
      <c r="A18" s="2"/>
      <c r="B18" s="73"/>
      <c r="C18" s="74"/>
      <c r="D18" s="162"/>
      <c r="E18" s="12"/>
      <c r="F18" s="20"/>
      <c r="G18" s="10"/>
      <c r="H18" s="10"/>
    </row>
    <row r="19" spans="1:8" ht="14" x14ac:dyDescent="0.15">
      <c r="A19" s="2"/>
      <c r="B19" s="70" t="s">
        <v>54</v>
      </c>
      <c r="C19" s="75"/>
      <c r="D19" s="72" t="s">
        <v>51</v>
      </c>
      <c r="E19" s="163"/>
      <c r="F19" s="113"/>
      <c r="G19" s="2"/>
      <c r="H19" s="2"/>
    </row>
    <row r="20" spans="1:8" ht="15" customHeight="1" x14ac:dyDescent="0.15">
      <c r="A20" s="2"/>
      <c r="B20" s="70"/>
      <c r="C20" s="75"/>
      <c r="D20" s="76"/>
      <c r="E20" s="13"/>
      <c r="F20" s="16"/>
      <c r="G20" s="2"/>
      <c r="H20" s="2"/>
    </row>
    <row r="21" spans="1:8" ht="14" x14ac:dyDescent="0.15">
      <c r="A21" s="2"/>
      <c r="B21" s="70" t="s">
        <v>55</v>
      </c>
      <c r="C21" s="75"/>
      <c r="D21" s="69" t="s">
        <v>59</v>
      </c>
      <c r="E21" s="14"/>
      <c r="F21" s="16"/>
      <c r="G21" s="2"/>
      <c r="H21" s="2"/>
    </row>
    <row r="22" spans="1:8" ht="14" x14ac:dyDescent="0.15">
      <c r="A22" s="2"/>
      <c r="B22" s="70"/>
      <c r="C22" s="75"/>
      <c r="D22" s="69"/>
      <c r="E22" s="13"/>
      <c r="F22" s="16"/>
      <c r="G22" s="2"/>
      <c r="H22" s="2"/>
    </row>
    <row r="23" spans="1:8" ht="14" x14ac:dyDescent="0.15">
      <c r="A23" s="2"/>
      <c r="B23" s="70" t="s">
        <v>57</v>
      </c>
      <c r="C23" s="75"/>
      <c r="D23" s="164" t="s">
        <v>60</v>
      </c>
      <c r="E23" s="165"/>
      <c r="F23" s="16"/>
      <c r="G23" s="2"/>
      <c r="H23" s="2"/>
    </row>
    <row r="24" spans="1:8" ht="14" x14ac:dyDescent="0.15">
      <c r="A24" s="2"/>
      <c r="B24" s="77"/>
      <c r="C24" s="75"/>
      <c r="D24" s="164" t="s">
        <v>61</v>
      </c>
      <c r="E24" s="165"/>
      <c r="F24" s="16"/>
      <c r="G24" s="2"/>
      <c r="H24" s="2"/>
    </row>
    <row r="25" spans="1:8" ht="14" x14ac:dyDescent="0.15">
      <c r="A25" s="2"/>
      <c r="B25" s="77"/>
      <c r="C25" s="75"/>
      <c r="D25" s="164"/>
      <c r="E25" s="165"/>
      <c r="F25" s="16"/>
      <c r="G25" s="2"/>
      <c r="H25" s="2"/>
    </row>
    <row r="26" spans="1:8" ht="15" thickBot="1" x14ac:dyDescent="0.2">
      <c r="A26" s="2"/>
      <c r="B26" s="166">
        <v>6</v>
      </c>
      <c r="C26" s="167"/>
      <c r="D26" s="167" t="s">
        <v>95</v>
      </c>
      <c r="E26" s="17"/>
      <c r="F26" s="18"/>
      <c r="G26" s="2"/>
      <c r="H26" s="2"/>
    </row>
    <row r="27" spans="1:8" x14ac:dyDescent="0.15">
      <c r="A27" s="2"/>
      <c r="B27" s="2"/>
      <c r="C27" s="2"/>
      <c r="D27" s="2"/>
      <c r="E27" s="2"/>
      <c r="F27" s="2"/>
      <c r="G27" s="2"/>
      <c r="H27" s="2"/>
    </row>
    <row r="28" spans="1:8" ht="8.75" customHeight="1" thickBot="1" x14ac:dyDescent="0.2">
      <c r="A28" s="2"/>
      <c r="B28" s="2"/>
      <c r="C28" s="2"/>
      <c r="D28" s="2"/>
      <c r="E28" s="2"/>
      <c r="F28" s="2"/>
      <c r="G28" s="2"/>
      <c r="H28" s="2"/>
    </row>
    <row r="29" spans="1:8" ht="18" customHeight="1" x14ac:dyDescent="0.15">
      <c r="A29" s="2"/>
      <c r="B29" s="2"/>
      <c r="C29" s="2"/>
      <c r="D29" s="186" t="s">
        <v>9</v>
      </c>
      <c r="E29" s="188" t="s">
        <v>13</v>
      </c>
      <c r="F29" s="2"/>
      <c r="G29" s="2"/>
      <c r="H29" s="2"/>
    </row>
    <row r="30" spans="1:8" ht="13" customHeight="1" thickBot="1" x14ac:dyDescent="0.2">
      <c r="A30" s="2"/>
      <c r="B30" s="2"/>
      <c r="C30" s="2"/>
      <c r="D30" s="187"/>
      <c r="E30" s="189"/>
      <c r="F30" s="2"/>
      <c r="G30" s="2"/>
      <c r="H30" s="2"/>
    </row>
    <row r="31" spans="1:8" ht="16" x14ac:dyDescent="0.15">
      <c r="A31" s="2"/>
      <c r="B31" s="2"/>
      <c r="C31" s="2"/>
      <c r="D31" s="86"/>
      <c r="E31" s="64"/>
      <c r="F31" s="2"/>
      <c r="G31" s="2"/>
      <c r="H31" s="2"/>
    </row>
    <row r="32" spans="1:8" ht="16" x14ac:dyDescent="0.15">
      <c r="A32" s="2"/>
      <c r="B32" s="2"/>
      <c r="C32" s="2"/>
      <c r="D32" s="87"/>
      <c r="E32" s="65"/>
      <c r="F32" s="2"/>
      <c r="G32" s="2"/>
      <c r="H32" s="2"/>
    </row>
    <row r="33" spans="1:8" ht="17" x14ac:dyDescent="0.15">
      <c r="A33" s="2"/>
      <c r="B33" s="2"/>
      <c r="C33" s="2"/>
      <c r="D33" s="88" t="s">
        <v>108</v>
      </c>
      <c r="E33" s="81">
        <v>65</v>
      </c>
      <c r="F33" s="2"/>
      <c r="G33" s="2"/>
      <c r="H33" s="2"/>
    </row>
    <row r="34" spans="1:8" ht="17" x14ac:dyDescent="0.15">
      <c r="A34" s="2"/>
      <c r="B34" s="2"/>
      <c r="C34" s="2"/>
      <c r="D34" s="88" t="s">
        <v>109</v>
      </c>
      <c r="E34" s="82">
        <v>35</v>
      </c>
      <c r="F34" s="2"/>
      <c r="G34" s="2"/>
      <c r="H34" s="2"/>
    </row>
    <row r="35" spans="1:8" ht="16" x14ac:dyDescent="0.15">
      <c r="A35" s="2"/>
      <c r="B35" s="2"/>
      <c r="C35" s="2"/>
      <c r="D35" s="87"/>
      <c r="E35" s="66"/>
      <c r="F35" s="2"/>
      <c r="G35" s="2"/>
      <c r="H35" s="2"/>
    </row>
    <row r="36" spans="1:8" ht="17" thickBot="1" x14ac:dyDescent="0.2">
      <c r="A36" s="2"/>
      <c r="B36" s="2"/>
      <c r="C36" s="2"/>
      <c r="D36" s="89"/>
      <c r="E36" s="67"/>
      <c r="F36" s="2"/>
      <c r="G36" s="2"/>
      <c r="H36" s="2"/>
    </row>
    <row r="37" spans="1:8" ht="15" thickBot="1" x14ac:dyDescent="0.25">
      <c r="A37" s="2"/>
      <c r="B37" s="2"/>
      <c r="C37" s="2"/>
      <c r="D37" s="68"/>
      <c r="E37" s="68"/>
      <c r="F37" s="2"/>
      <c r="G37" s="2"/>
      <c r="H37" s="2"/>
    </row>
    <row r="38" spans="1:8" ht="17" thickBot="1" x14ac:dyDescent="0.25">
      <c r="A38" s="2"/>
      <c r="B38" s="2"/>
      <c r="C38" s="2"/>
      <c r="D38" s="84" t="s">
        <v>110</v>
      </c>
      <c r="E38" s="85">
        <f>SUM(E33:E36)</f>
        <v>100</v>
      </c>
      <c r="F38" s="2"/>
      <c r="G38" s="2"/>
      <c r="H38" s="2"/>
    </row>
    <row r="39" spans="1:8" ht="16" x14ac:dyDescent="0.2">
      <c r="A39" s="2"/>
      <c r="B39" s="2"/>
      <c r="C39" s="2"/>
      <c r="D39" s="83"/>
      <c r="E39" s="83"/>
      <c r="F39" s="2"/>
      <c r="G39" s="2"/>
      <c r="H39" s="2"/>
    </row>
  </sheetData>
  <sheetProtection algorithmName="SHA-512" hashValue="gIhqvbGq8ZU00Hxe2uPFqf1lNsjxWK6edQ7Xmrlzc8aud7qVMezxZtyoKYKOrJg+rGxm0m+EOYrQlFemPQmuTA==" saltValue="U+P9sgdh1VllCerZLYefVQ==" spinCount="100000" sheet="1" objects="1" scenarios="1" selectLockedCells="1"/>
  <mergeCells count="9">
    <mergeCell ref="D12:E12"/>
    <mergeCell ref="D29:D30"/>
    <mergeCell ref="E29:E30"/>
    <mergeCell ref="F2:G2"/>
    <mergeCell ref="D3:E3"/>
    <mergeCell ref="F4:G4"/>
    <mergeCell ref="F3:G3"/>
    <mergeCell ref="D4:E4"/>
    <mergeCell ref="D2:E2"/>
  </mergeCells>
  <phoneticPr fontId="2" type="noConversion"/>
  <dataValidations xWindow="573" yWindow="298" count="2">
    <dataValidation allowBlank="1" showInputMessage="1" showErrorMessage="1" error="Changing content of this cell means plagiarism." promptTitle="Warning!" prompt="You must Input your Name and Student Id before you start the Quiz" sqref="F3:G4" xr:uid="{00000000-0002-0000-0000-000000000000}"/>
    <dataValidation allowBlank="1" showInputMessage="1" showErrorMessage="1" errorTitle="Warning!" error="Changing content of this cell means plagiarism." promptTitle="Warning!" prompt="Please do not change the content!" sqref="F2:G2" xr:uid="{00000000-0002-0000-0000-000001000000}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E40"/>
  <sheetViews>
    <sheetView zoomScaleNormal="100" zoomScaleSheetLayoutView="130" workbookViewId="0">
      <pane ySplit="2" topLeftCell="A3" activePane="bottomLeft" state="frozen"/>
      <selection activeCell="A23" sqref="A23"/>
      <selection pane="bottomLeft" activeCell="F30" sqref="F30"/>
    </sheetView>
  </sheetViews>
  <sheetFormatPr baseColWidth="10" defaultColWidth="8.83203125" defaultRowHeight="13" x14ac:dyDescent="0.15"/>
  <cols>
    <col min="1" max="1" width="8.83203125" style="90"/>
    <col min="2" max="2" width="8.83203125" style="90" customWidth="1"/>
    <col min="3" max="3" width="18.5" style="90" bestFit="1" customWidth="1"/>
    <col min="4" max="4" width="14.1640625" style="90" customWidth="1"/>
    <col min="5" max="5" width="49.5" style="90" customWidth="1"/>
    <col min="6" max="6" width="15.6640625" style="90" customWidth="1"/>
    <col min="7" max="7" width="13.83203125" style="90" customWidth="1"/>
    <col min="8" max="8" width="22.1640625" style="90" customWidth="1"/>
    <col min="9" max="9" width="11.33203125" style="90" customWidth="1"/>
    <col min="10" max="10" width="8.83203125" style="90" customWidth="1"/>
    <col min="11" max="11" width="29.5" style="90" customWidth="1"/>
    <col min="12" max="12" width="11.83203125" style="90" customWidth="1"/>
    <col min="13" max="13" width="13.5" style="90" customWidth="1"/>
    <col min="14" max="15" width="11.83203125" style="90" customWidth="1"/>
    <col min="16" max="16" width="13.83203125" style="90" customWidth="1"/>
    <col min="17" max="27" width="11.83203125" style="90" customWidth="1"/>
    <col min="28" max="28" width="15" style="90" customWidth="1"/>
    <col min="29" max="42" width="11.83203125" style="90" customWidth="1"/>
    <col min="43" max="43" width="19.1640625" style="90" customWidth="1"/>
    <col min="44" max="44" width="19.5" style="90" customWidth="1"/>
    <col min="45" max="55" width="11.83203125" style="90" customWidth="1"/>
    <col min="56" max="16384" width="8.83203125" style="90"/>
  </cols>
  <sheetData>
    <row r="1" spans="1:43" s="94" customFormat="1" ht="16" x14ac:dyDescent="0.2">
      <c r="A1" s="93" t="e">
        <f>#REF!</f>
        <v>#REF!</v>
      </c>
      <c r="B1" s="26" t="s">
        <v>44</v>
      </c>
      <c r="C1" s="26" t="str">
        <f>IF(LEN(S_Id)&lt;7,"Invalid Student ID",CONCATENATE(S_Id," ", G_Name))</f>
        <v>24458491 Marco Arcidiacono</v>
      </c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</row>
    <row r="2" spans="1:43" s="94" customFormat="1" x14ac:dyDescent="0.15"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</row>
    <row r="3" spans="1:43" ht="16" x14ac:dyDescent="0.2">
      <c r="A3" s="95"/>
      <c r="B3" s="95"/>
      <c r="C3" s="95"/>
      <c r="D3" s="95"/>
      <c r="E3" s="95"/>
      <c r="F3" s="95"/>
      <c r="G3" s="95"/>
      <c r="H3" s="95"/>
      <c r="I3" s="95"/>
      <c r="J3" s="95"/>
      <c r="R3" s="168"/>
      <c r="S3" s="168"/>
      <c r="T3" s="168"/>
      <c r="U3" s="168"/>
      <c r="V3" s="168"/>
      <c r="W3" s="168"/>
      <c r="X3" s="168"/>
      <c r="Y3" s="180"/>
      <c r="Z3" s="180"/>
      <c r="AA3" s="180"/>
      <c r="AB3" s="180" t="s">
        <v>29</v>
      </c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68"/>
      <c r="AQ3" s="168"/>
    </row>
    <row r="4" spans="1:43" ht="16" x14ac:dyDescent="0.2">
      <c r="A4" s="95"/>
      <c r="B4" s="23" t="s">
        <v>88</v>
      </c>
      <c r="C4" s="95"/>
      <c r="D4" s="95"/>
      <c r="E4" s="95"/>
      <c r="F4" s="95"/>
      <c r="G4" s="95"/>
      <c r="H4" s="95"/>
      <c r="I4" s="95"/>
      <c r="J4" s="95"/>
      <c r="R4" s="168"/>
      <c r="S4" s="168"/>
      <c r="T4" s="168"/>
      <c r="U4" s="168"/>
      <c r="V4" s="168"/>
      <c r="W4" s="168"/>
      <c r="X4" s="168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68"/>
      <c r="AQ4" s="168"/>
    </row>
    <row r="5" spans="1:43" ht="16" x14ac:dyDescent="0.2">
      <c r="A5" s="95"/>
      <c r="B5" s="23" t="s">
        <v>89</v>
      </c>
      <c r="C5" s="95"/>
      <c r="D5" s="95"/>
      <c r="E5" s="95"/>
      <c r="F5" s="95"/>
      <c r="G5" s="95"/>
      <c r="H5" s="95"/>
      <c r="I5" s="95"/>
      <c r="J5" s="95"/>
      <c r="R5" s="168"/>
      <c r="S5" s="168"/>
      <c r="T5" s="168"/>
      <c r="U5" s="168"/>
      <c r="V5" s="168"/>
      <c r="W5" s="168"/>
      <c r="X5" s="168"/>
      <c r="Y5" s="180"/>
      <c r="Z5" s="180"/>
      <c r="AA5" s="169" t="s">
        <v>84</v>
      </c>
      <c r="AB5" s="170" t="s">
        <v>85</v>
      </c>
      <c r="AC5" s="171" t="s">
        <v>86</v>
      </c>
      <c r="AD5" s="172"/>
      <c r="AE5" s="171" t="s">
        <v>81</v>
      </c>
      <c r="AF5" s="171" t="s">
        <v>82</v>
      </c>
      <c r="AG5" s="172"/>
      <c r="AH5" s="171" t="s">
        <v>83</v>
      </c>
      <c r="AI5" s="173" t="s">
        <v>24</v>
      </c>
      <c r="AJ5" s="173" t="s">
        <v>25</v>
      </c>
      <c r="AK5" s="173" t="s">
        <v>26</v>
      </c>
      <c r="AL5" s="180"/>
      <c r="AM5" s="180"/>
      <c r="AN5" s="180"/>
      <c r="AO5" s="180"/>
      <c r="AP5" s="168"/>
      <c r="AQ5" s="168"/>
    </row>
    <row r="6" spans="1:43" ht="16" x14ac:dyDescent="0.2">
      <c r="A6" s="95"/>
      <c r="B6" s="23" t="s">
        <v>90</v>
      </c>
      <c r="C6" s="95"/>
      <c r="D6" s="95"/>
      <c r="E6" s="95"/>
      <c r="F6" s="95"/>
      <c r="G6" s="95"/>
      <c r="H6" s="95"/>
      <c r="I6" s="95"/>
      <c r="J6" s="95"/>
      <c r="R6" s="168"/>
      <c r="S6" s="168"/>
      <c r="T6" s="168"/>
      <c r="U6" s="168"/>
      <c r="V6" s="168"/>
      <c r="W6" s="168"/>
      <c r="X6" s="168"/>
      <c r="Y6" s="180"/>
      <c r="Z6" s="180" t="s">
        <v>0</v>
      </c>
      <c r="AA6" s="174" t="s">
        <v>30</v>
      </c>
      <c r="AB6" s="175" t="s">
        <v>1</v>
      </c>
      <c r="AC6" s="175">
        <f>AE6</f>
        <v>6.8</v>
      </c>
      <c r="AD6" s="172">
        <v>2</v>
      </c>
      <c r="AE6" s="175">
        <f t="shared" ref="AE6:AE12" si="0">StudentInput(S_Id,AD6,AI6,AJ6,10,AK6)</f>
        <v>6.8</v>
      </c>
      <c r="AF6" s="175">
        <v>6.4</v>
      </c>
      <c r="AG6" s="172"/>
      <c r="AH6" s="170" t="str">
        <f t="shared" ref="AH6:AH13" si="1">AA6</f>
        <v>a</v>
      </c>
      <c r="AI6" s="175">
        <v>5</v>
      </c>
      <c r="AJ6" s="175">
        <v>7</v>
      </c>
      <c r="AK6" s="175">
        <v>1</v>
      </c>
      <c r="AL6" s="180"/>
      <c r="AM6" s="180"/>
      <c r="AN6" s="180"/>
      <c r="AO6" s="180"/>
      <c r="AP6" s="168"/>
      <c r="AQ6" s="168"/>
    </row>
    <row r="7" spans="1:43" ht="16" x14ac:dyDescent="0.2">
      <c r="A7" s="95"/>
      <c r="B7" s="23" t="s">
        <v>49</v>
      </c>
      <c r="C7" s="95"/>
      <c r="D7" s="95"/>
      <c r="E7" s="95"/>
      <c r="F7" s="95"/>
      <c r="G7" s="95"/>
      <c r="H7" s="95"/>
      <c r="I7" s="95"/>
      <c r="J7" s="95"/>
      <c r="R7" s="168"/>
      <c r="S7" s="168"/>
      <c r="T7" s="168"/>
      <c r="U7" s="168"/>
      <c r="V7" s="168"/>
      <c r="W7" s="168"/>
      <c r="X7" s="168"/>
      <c r="Y7" s="168" t="s">
        <v>65</v>
      </c>
      <c r="Z7" s="168" t="s">
        <v>2</v>
      </c>
      <c r="AA7" s="174" t="s">
        <v>31</v>
      </c>
      <c r="AB7" s="175" t="s">
        <v>1</v>
      </c>
      <c r="AC7" s="175">
        <f t="shared" ref="AC7:AC13" si="2">AE7</f>
        <v>2.8</v>
      </c>
      <c r="AD7" s="172">
        <v>3</v>
      </c>
      <c r="AE7" s="175">
        <f t="shared" si="0"/>
        <v>2.8</v>
      </c>
      <c r="AF7" s="175">
        <v>3.4</v>
      </c>
      <c r="AG7" s="172"/>
      <c r="AH7" s="170" t="str">
        <f t="shared" si="1"/>
        <v>b</v>
      </c>
      <c r="AI7" s="175">
        <v>2</v>
      </c>
      <c r="AJ7" s="175">
        <v>4</v>
      </c>
      <c r="AK7" s="175">
        <v>1</v>
      </c>
      <c r="AL7" s="180"/>
      <c r="AM7" s="180"/>
      <c r="AN7" s="180"/>
      <c r="AO7" s="180"/>
      <c r="AP7" s="168"/>
      <c r="AQ7" s="168"/>
    </row>
    <row r="8" spans="1:43" ht="16" x14ac:dyDescent="0.2">
      <c r="A8" s="95"/>
      <c r="B8" s="23"/>
      <c r="C8" s="95"/>
      <c r="D8" s="95"/>
      <c r="E8" s="95"/>
      <c r="F8" s="95"/>
      <c r="G8" s="95"/>
      <c r="H8" s="95"/>
      <c r="I8" s="95"/>
      <c r="J8" s="95"/>
      <c r="R8" s="168"/>
      <c r="S8" s="168"/>
      <c r="T8" s="168"/>
      <c r="U8" s="168"/>
      <c r="V8" s="168"/>
      <c r="W8" s="168"/>
      <c r="X8" s="168"/>
      <c r="Y8" s="168" t="s">
        <v>66</v>
      </c>
      <c r="Z8" s="168" t="s">
        <v>38</v>
      </c>
      <c r="AA8" s="174" t="s">
        <v>37</v>
      </c>
      <c r="AB8" s="175" t="s">
        <v>1</v>
      </c>
      <c r="AC8" s="175">
        <f t="shared" si="2"/>
        <v>5.6</v>
      </c>
      <c r="AD8" s="172">
        <v>4</v>
      </c>
      <c r="AE8" s="175">
        <f t="shared" si="0"/>
        <v>5.6</v>
      </c>
      <c r="AF8" s="175">
        <v>5.4</v>
      </c>
      <c r="AG8" s="172"/>
      <c r="AH8" s="170" t="str">
        <f t="shared" si="1"/>
        <v>c</v>
      </c>
      <c r="AI8" s="175">
        <v>4</v>
      </c>
      <c r="AJ8" s="175">
        <v>6</v>
      </c>
      <c r="AK8" s="175">
        <v>1</v>
      </c>
      <c r="AL8" s="180"/>
      <c r="AM8" s="180"/>
      <c r="AN8" s="180"/>
      <c r="AO8" s="180"/>
      <c r="AP8" s="168"/>
      <c r="AQ8" s="168"/>
    </row>
    <row r="9" spans="1:43" ht="16" x14ac:dyDescent="0.2">
      <c r="A9" s="95"/>
      <c r="B9" s="23" t="s">
        <v>10</v>
      </c>
      <c r="C9" s="22"/>
      <c r="D9" s="22"/>
      <c r="E9" s="95"/>
      <c r="F9" s="95"/>
      <c r="G9" s="95"/>
      <c r="H9" s="95"/>
      <c r="I9" s="95"/>
      <c r="J9" s="95"/>
      <c r="R9" s="174" t="s">
        <v>30</v>
      </c>
      <c r="S9" s="175">
        <v>6.4</v>
      </c>
      <c r="T9" s="175" t="s">
        <v>1</v>
      </c>
      <c r="U9" s="168"/>
      <c r="V9" s="168"/>
      <c r="W9" s="168"/>
      <c r="X9" s="168"/>
      <c r="Y9" s="168" t="s">
        <v>67</v>
      </c>
      <c r="Z9" s="168" t="s">
        <v>69</v>
      </c>
      <c r="AA9" s="174" t="s">
        <v>76</v>
      </c>
      <c r="AB9" s="175" t="s">
        <v>1</v>
      </c>
      <c r="AC9" s="175">
        <f t="shared" si="2"/>
        <v>4</v>
      </c>
      <c r="AD9" s="172">
        <v>5</v>
      </c>
      <c r="AE9" s="175">
        <f t="shared" si="0"/>
        <v>4</v>
      </c>
      <c r="AF9" s="175">
        <v>4.4000000000000004</v>
      </c>
      <c r="AG9" s="172"/>
      <c r="AH9" s="170" t="str">
        <f t="shared" si="1"/>
        <v>d</v>
      </c>
      <c r="AI9" s="176">
        <v>3</v>
      </c>
      <c r="AJ9" s="176">
        <v>5</v>
      </c>
      <c r="AK9" s="175">
        <v>2</v>
      </c>
      <c r="AL9" s="180"/>
      <c r="AM9" s="180"/>
      <c r="AN9" s="180"/>
      <c r="AO9" s="180"/>
      <c r="AP9" s="168"/>
      <c r="AQ9" s="168"/>
    </row>
    <row r="10" spans="1:43" ht="16" x14ac:dyDescent="0.2">
      <c r="A10" s="95"/>
      <c r="B10" s="28" t="s">
        <v>70</v>
      </c>
      <c r="C10" s="28">
        <f>IF($C$1="Invalid Student ID","Please input ID",AC6)</f>
        <v>6.8</v>
      </c>
      <c r="D10" s="27" t="s">
        <v>1</v>
      </c>
      <c r="E10" s="95"/>
      <c r="F10" s="95"/>
      <c r="G10" s="95"/>
      <c r="H10" s="95"/>
      <c r="I10" s="95"/>
      <c r="J10" s="95"/>
      <c r="R10" s="174" t="s">
        <v>31</v>
      </c>
      <c r="S10" s="175">
        <v>3.4</v>
      </c>
      <c r="T10" s="175" t="s">
        <v>1</v>
      </c>
      <c r="U10" s="168"/>
      <c r="V10" s="168"/>
      <c r="W10" s="168"/>
      <c r="X10" s="168"/>
      <c r="Y10" s="168" t="s">
        <v>68</v>
      </c>
      <c r="Z10" s="168" t="s">
        <v>1</v>
      </c>
      <c r="AA10" s="174" t="s">
        <v>12</v>
      </c>
      <c r="AB10" s="175" t="s">
        <v>0</v>
      </c>
      <c r="AC10" s="175">
        <f t="shared" si="2"/>
        <v>290</v>
      </c>
      <c r="AD10" s="172">
        <v>4</v>
      </c>
      <c r="AE10" s="176">
        <f t="shared" si="0"/>
        <v>290</v>
      </c>
      <c r="AF10" s="175">
        <v>256</v>
      </c>
      <c r="AG10" s="172"/>
      <c r="AH10" s="170" t="str">
        <f t="shared" si="1"/>
        <v>F</v>
      </c>
      <c r="AI10" s="176">
        <v>250</v>
      </c>
      <c r="AJ10" s="176">
        <v>300</v>
      </c>
      <c r="AK10" s="175">
        <v>1</v>
      </c>
      <c r="AL10" s="180"/>
      <c r="AM10" s="180"/>
      <c r="AN10" s="180"/>
      <c r="AO10" s="180"/>
      <c r="AP10" s="168"/>
      <c r="AQ10" s="168"/>
    </row>
    <row r="11" spans="1:43" ht="16" x14ac:dyDescent="0.2">
      <c r="A11" s="95"/>
      <c r="B11" s="28" t="s">
        <v>71</v>
      </c>
      <c r="C11" s="28">
        <f t="shared" ref="C11:C13" si="3">IF($C$1="Invalid Student ID","Please input ID",AC7)</f>
        <v>2.8</v>
      </c>
      <c r="D11" s="27" t="s">
        <v>1</v>
      </c>
      <c r="E11" s="95"/>
      <c r="F11" s="95"/>
      <c r="G11" s="95"/>
      <c r="H11" s="95"/>
      <c r="I11" s="95"/>
      <c r="J11" s="95"/>
      <c r="R11" s="174" t="s">
        <v>37</v>
      </c>
      <c r="S11" s="175">
        <v>5.4</v>
      </c>
      <c r="T11" s="175" t="s">
        <v>1</v>
      </c>
      <c r="U11" s="168"/>
      <c r="V11" s="168"/>
      <c r="W11" s="168"/>
      <c r="X11" s="168"/>
      <c r="Y11" s="168" t="s">
        <v>11</v>
      </c>
      <c r="Z11" s="168"/>
      <c r="AA11" s="174" t="s">
        <v>35</v>
      </c>
      <c r="AB11" s="175" t="s">
        <v>38</v>
      </c>
      <c r="AC11" s="175">
        <f t="shared" si="2"/>
        <v>14</v>
      </c>
      <c r="AD11" s="172">
        <v>3</v>
      </c>
      <c r="AE11" s="175">
        <f t="shared" si="0"/>
        <v>14</v>
      </c>
      <c r="AF11" s="175">
        <v>22</v>
      </c>
      <c r="AG11" s="172"/>
      <c r="AH11" s="170" t="str">
        <f t="shared" si="1"/>
        <v>w</v>
      </c>
      <c r="AI11" s="177">
        <v>10</v>
      </c>
      <c r="AJ11" s="177">
        <v>20</v>
      </c>
      <c r="AK11" s="175">
        <v>2</v>
      </c>
      <c r="AL11" s="180"/>
      <c r="AM11" s="180"/>
      <c r="AN11" s="180"/>
      <c r="AO11" s="180"/>
      <c r="AP11" s="168"/>
      <c r="AQ11" s="168"/>
    </row>
    <row r="12" spans="1:43" ht="16" x14ac:dyDescent="0.2">
      <c r="A12" s="95"/>
      <c r="B12" s="28" t="s">
        <v>73</v>
      </c>
      <c r="C12" s="28">
        <f t="shared" si="3"/>
        <v>5.6</v>
      </c>
      <c r="D12" s="27" t="s">
        <v>1</v>
      </c>
      <c r="E12" s="95"/>
      <c r="F12" s="95"/>
      <c r="G12" s="95"/>
      <c r="H12" s="95"/>
      <c r="I12" s="95"/>
      <c r="J12" s="95"/>
      <c r="R12" s="174" t="s">
        <v>76</v>
      </c>
      <c r="S12" s="175">
        <v>4.4000000000000004</v>
      </c>
      <c r="T12" s="175" t="s">
        <v>1</v>
      </c>
      <c r="U12" s="168"/>
      <c r="V12" s="168"/>
      <c r="W12" s="168"/>
      <c r="X12" s="168"/>
      <c r="Y12" s="168" t="s">
        <v>14</v>
      </c>
      <c r="Z12" s="168"/>
      <c r="AA12" s="174" t="s">
        <v>64</v>
      </c>
      <c r="AB12" s="175" t="s">
        <v>106</v>
      </c>
      <c r="AC12" s="175">
        <f t="shared" si="2"/>
        <v>280</v>
      </c>
      <c r="AD12" s="172">
        <v>2</v>
      </c>
      <c r="AE12" s="175">
        <f t="shared" si="0"/>
        <v>280</v>
      </c>
      <c r="AF12" s="178">
        <v>240</v>
      </c>
      <c r="AG12" s="172"/>
      <c r="AH12" s="170" t="str">
        <f t="shared" si="1"/>
        <v>EI</v>
      </c>
      <c r="AI12" s="177">
        <v>100</v>
      </c>
      <c r="AJ12" s="177">
        <v>300</v>
      </c>
      <c r="AK12" s="175">
        <v>4</v>
      </c>
      <c r="AL12" s="180"/>
      <c r="AM12" s="180"/>
      <c r="AN12" s="180"/>
      <c r="AO12" s="180"/>
      <c r="AP12" s="168"/>
      <c r="AQ12" s="168"/>
    </row>
    <row r="13" spans="1:43" ht="15.75" customHeight="1" x14ac:dyDescent="0.2">
      <c r="A13" s="95"/>
      <c r="B13" s="28" t="s">
        <v>72</v>
      </c>
      <c r="C13" s="28">
        <f t="shared" si="3"/>
        <v>4</v>
      </c>
      <c r="D13" s="27" t="s">
        <v>1</v>
      </c>
      <c r="E13" s="95"/>
      <c r="F13" s="95"/>
      <c r="G13" s="95"/>
      <c r="H13" s="95"/>
      <c r="I13" s="95"/>
      <c r="J13" s="95"/>
      <c r="M13" s="137"/>
      <c r="N13" s="138"/>
      <c r="O13" s="137"/>
      <c r="P13" s="137"/>
      <c r="R13" s="174" t="s">
        <v>12</v>
      </c>
      <c r="S13" s="176">
        <v>256</v>
      </c>
      <c r="T13" s="175" t="s">
        <v>0</v>
      </c>
      <c r="U13" s="168"/>
      <c r="V13" s="168"/>
      <c r="W13" s="168"/>
      <c r="X13" s="168"/>
      <c r="Y13" s="168" t="s">
        <v>15</v>
      </c>
      <c r="Z13" s="168"/>
      <c r="AA13" s="174" t="s">
        <v>63</v>
      </c>
      <c r="AB13" s="175" t="s">
        <v>0</v>
      </c>
      <c r="AC13" s="175" t="str">
        <f t="shared" si="2"/>
        <v>∞</v>
      </c>
      <c r="AD13" s="172">
        <v>1</v>
      </c>
      <c r="AE13" s="175" t="s">
        <v>74</v>
      </c>
      <c r="AF13" s="175" t="s">
        <v>74</v>
      </c>
      <c r="AG13" s="172"/>
      <c r="AH13" s="170" t="str">
        <f t="shared" si="1"/>
        <v>EA</v>
      </c>
      <c r="AI13" s="179">
        <v>100000</v>
      </c>
      <c r="AJ13" s="179">
        <v>140000</v>
      </c>
      <c r="AK13" s="172">
        <v>4</v>
      </c>
      <c r="AL13" s="180"/>
      <c r="AM13" s="180"/>
      <c r="AN13" s="180"/>
      <c r="AO13" s="180"/>
      <c r="AP13" s="168"/>
      <c r="AQ13" s="168"/>
    </row>
    <row r="14" spans="1:43" ht="15.75" customHeight="1" x14ac:dyDescent="0.2">
      <c r="A14" s="95"/>
      <c r="B14" s="28" t="s">
        <v>79</v>
      </c>
      <c r="C14" s="28">
        <f>IF($C$1="Invalid Student ID","Please input ID",AC12)</f>
        <v>280</v>
      </c>
      <c r="D14" s="27" t="s">
        <v>75</v>
      </c>
      <c r="E14" s="95"/>
      <c r="F14" s="95"/>
      <c r="G14" s="95"/>
      <c r="H14" s="95"/>
      <c r="I14" s="95"/>
      <c r="J14" s="95"/>
      <c r="M14" s="137"/>
      <c r="N14" s="137"/>
      <c r="O14" s="137"/>
      <c r="P14" s="137"/>
      <c r="R14" s="174" t="s">
        <v>35</v>
      </c>
      <c r="S14" s="175">
        <v>22</v>
      </c>
      <c r="T14" s="175" t="s">
        <v>38</v>
      </c>
      <c r="U14" s="168"/>
      <c r="V14" s="168"/>
      <c r="W14" s="168"/>
      <c r="X14" s="168"/>
      <c r="Y14" s="168" t="s">
        <v>16</v>
      </c>
      <c r="Z14" s="168"/>
      <c r="AA14" s="168"/>
      <c r="AB14" s="180"/>
      <c r="AC14" s="180"/>
      <c r="AD14" s="168"/>
      <c r="AE14" s="168"/>
      <c r="AF14" s="180"/>
      <c r="AG14" s="180"/>
      <c r="AH14" s="180"/>
      <c r="AI14" s="180"/>
      <c r="AJ14" s="180"/>
      <c r="AK14" s="180"/>
      <c r="AL14" s="180"/>
      <c r="AM14" s="180"/>
      <c r="AN14" s="180"/>
      <c r="AO14" s="180"/>
      <c r="AP14" s="168"/>
      <c r="AQ14" s="168"/>
    </row>
    <row r="15" spans="1:43" ht="15.75" customHeight="1" x14ac:dyDescent="0.2">
      <c r="A15" s="95"/>
      <c r="B15" s="28" t="s">
        <v>80</v>
      </c>
      <c r="C15" s="28" t="str">
        <f>IF($C$1="Invalid Student ID","Please input ID",AC13)</f>
        <v>∞</v>
      </c>
      <c r="D15" s="27" t="s">
        <v>0</v>
      </c>
      <c r="E15" s="95"/>
      <c r="F15" s="95"/>
      <c r="G15" s="95"/>
      <c r="H15" s="95"/>
      <c r="I15" s="95"/>
      <c r="J15" s="95"/>
      <c r="R15" s="174" t="s">
        <v>64</v>
      </c>
      <c r="S15" s="175">
        <v>240</v>
      </c>
      <c r="T15" s="175" t="s">
        <v>77</v>
      </c>
      <c r="U15" s="168"/>
      <c r="V15" s="168"/>
      <c r="W15" s="168"/>
      <c r="X15" s="168"/>
      <c r="Y15" s="168" t="s">
        <v>17</v>
      </c>
      <c r="Z15" s="168"/>
      <c r="AA15" s="168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  <c r="AP15" s="168"/>
      <c r="AQ15" s="168"/>
    </row>
    <row r="16" spans="1:43" ht="15.75" customHeight="1" x14ac:dyDescent="0.2">
      <c r="A16" s="95"/>
      <c r="B16" s="23" t="s">
        <v>62</v>
      </c>
      <c r="C16" s="22"/>
      <c r="D16" s="22"/>
      <c r="E16" s="95"/>
      <c r="F16" s="95"/>
      <c r="G16" s="95"/>
      <c r="H16" s="95"/>
      <c r="I16" s="95"/>
      <c r="J16" s="95"/>
      <c r="R16" s="174" t="s">
        <v>63</v>
      </c>
      <c r="S16" s="175" t="s">
        <v>74</v>
      </c>
      <c r="T16" s="175" t="s">
        <v>0</v>
      </c>
      <c r="U16" s="168"/>
      <c r="V16" s="168"/>
      <c r="W16" s="168"/>
      <c r="X16" s="168"/>
      <c r="Y16" s="168" t="s">
        <v>18</v>
      </c>
      <c r="Z16" s="168"/>
      <c r="AA16" s="168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  <c r="AP16" s="181"/>
      <c r="AQ16" s="168"/>
    </row>
    <row r="17" spans="1:56" ht="15.75" customHeight="1" x14ac:dyDescent="0.15">
      <c r="A17" s="95"/>
      <c r="B17" s="28" t="s">
        <v>87</v>
      </c>
      <c r="C17" s="28">
        <f>IF($C$1="Invalid Student ID","Please input ID",AC10)</f>
        <v>290</v>
      </c>
      <c r="D17" s="27" t="s">
        <v>0</v>
      </c>
      <c r="E17" s="95"/>
      <c r="F17" s="95"/>
      <c r="G17" s="95"/>
      <c r="H17" s="95"/>
      <c r="I17" s="95"/>
      <c r="J17" s="95"/>
      <c r="R17" s="168"/>
      <c r="S17" s="168"/>
      <c r="T17" s="168"/>
      <c r="U17" s="168"/>
      <c r="V17" s="168"/>
      <c r="W17" s="168"/>
      <c r="X17" s="168"/>
      <c r="Y17" s="168" t="s">
        <v>19</v>
      </c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</row>
    <row r="18" spans="1:56" ht="15.75" customHeight="1" x14ac:dyDescent="0.2">
      <c r="A18" s="95"/>
      <c r="B18" s="28" t="s">
        <v>78</v>
      </c>
      <c r="C18" s="28">
        <f>IF($C$1="Invalid Student ID","Please input ID",AC11)</f>
        <v>14</v>
      </c>
      <c r="D18" s="27" t="s">
        <v>38</v>
      </c>
      <c r="E18" s="95"/>
      <c r="F18" s="95"/>
      <c r="G18" s="95"/>
      <c r="H18" s="95"/>
      <c r="I18" s="95"/>
      <c r="J18" s="95"/>
      <c r="R18" s="168"/>
      <c r="S18" s="168"/>
      <c r="T18" s="168"/>
      <c r="U18" s="168"/>
      <c r="V18" s="168"/>
      <c r="W18" s="168"/>
      <c r="X18" s="168"/>
      <c r="Y18" s="168" t="s">
        <v>20</v>
      </c>
      <c r="Z18" s="168"/>
      <c r="AA18" s="168"/>
      <c r="AB18" s="168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68"/>
      <c r="AQ18" s="168"/>
    </row>
    <row r="19" spans="1:56" ht="15.75" customHeight="1" x14ac:dyDescent="0.2">
      <c r="A19" s="95"/>
      <c r="B19" s="95"/>
      <c r="C19" s="95"/>
      <c r="D19" s="95"/>
      <c r="E19" s="95"/>
      <c r="F19" s="95"/>
      <c r="G19" s="95"/>
      <c r="H19" s="95"/>
      <c r="I19" s="95"/>
      <c r="J19" s="95"/>
      <c r="R19" s="168"/>
      <c r="S19" s="168"/>
      <c r="T19" s="168"/>
      <c r="U19" s="168"/>
      <c r="V19" s="168"/>
      <c r="W19" s="168"/>
      <c r="X19" s="168"/>
      <c r="Y19" s="180" t="s">
        <v>21</v>
      </c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68"/>
      <c r="AQ19" s="168"/>
    </row>
    <row r="20" spans="1:56" ht="15.75" customHeight="1" x14ac:dyDescent="0.2">
      <c r="A20" s="95"/>
      <c r="B20" s="95"/>
      <c r="C20" s="95"/>
      <c r="D20" s="95"/>
      <c r="E20" s="95"/>
      <c r="F20" s="95"/>
      <c r="G20" s="95"/>
      <c r="H20" s="95"/>
      <c r="I20" s="95"/>
      <c r="J20" s="95"/>
      <c r="R20" s="168"/>
      <c r="S20" s="168"/>
      <c r="T20" s="168"/>
      <c r="U20" s="168"/>
      <c r="V20" s="168"/>
      <c r="W20" s="168"/>
      <c r="X20" s="168"/>
      <c r="Y20" s="180" t="s">
        <v>22</v>
      </c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68"/>
      <c r="AQ20" s="168"/>
    </row>
    <row r="21" spans="1:56" ht="15.75" customHeight="1" x14ac:dyDescent="0.2">
      <c r="A21" s="95"/>
      <c r="B21" s="95"/>
      <c r="C21" s="95"/>
      <c r="D21" s="95"/>
      <c r="E21" s="95"/>
      <c r="F21" s="95"/>
      <c r="G21" s="95"/>
      <c r="H21" s="95"/>
      <c r="I21" s="95"/>
      <c r="J21" s="95"/>
      <c r="R21" s="168"/>
      <c r="S21" s="168"/>
      <c r="T21" s="168"/>
      <c r="U21" s="168"/>
      <c r="V21" s="168"/>
      <c r="W21" s="168"/>
      <c r="X21" s="168"/>
      <c r="Y21" s="180" t="s">
        <v>23</v>
      </c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68"/>
      <c r="AQ21" s="168"/>
    </row>
    <row r="22" spans="1:56" x14ac:dyDescent="0.15">
      <c r="A22" s="95"/>
      <c r="B22" s="95"/>
      <c r="C22" s="95"/>
      <c r="D22" s="95"/>
      <c r="E22" s="95"/>
      <c r="F22" s="95"/>
      <c r="G22" s="95"/>
      <c r="H22" s="95"/>
      <c r="I22" s="95"/>
      <c r="J22" s="95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  <c r="AP22" s="168"/>
      <c r="AQ22" s="168"/>
    </row>
    <row r="23" spans="1:56" x14ac:dyDescent="0.15">
      <c r="A23" s="95"/>
      <c r="B23" s="95"/>
      <c r="C23" s="95"/>
      <c r="D23" s="95"/>
      <c r="E23" s="95"/>
      <c r="F23" s="95"/>
      <c r="G23" s="95"/>
      <c r="H23" s="95"/>
      <c r="I23" s="95"/>
      <c r="J23" s="95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  <c r="AP23" s="168"/>
      <c r="AQ23" s="168"/>
    </row>
    <row r="24" spans="1:56" x14ac:dyDescent="0.15">
      <c r="A24" s="95"/>
      <c r="B24" s="95"/>
      <c r="C24" s="95"/>
      <c r="D24" s="95"/>
      <c r="E24" s="95"/>
      <c r="F24" s="95"/>
      <c r="G24" s="95"/>
      <c r="H24" s="95"/>
      <c r="I24" s="95"/>
      <c r="J24" s="95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</row>
    <row r="25" spans="1:56" x14ac:dyDescent="0.15">
      <c r="A25" s="95"/>
      <c r="B25" s="95"/>
      <c r="C25" s="95"/>
      <c r="D25" s="95"/>
      <c r="E25" s="95"/>
      <c r="F25" s="95"/>
      <c r="G25" s="95"/>
      <c r="H25" s="95"/>
      <c r="I25" s="95"/>
      <c r="J25" s="95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  <c r="AP25" s="168"/>
      <c r="AQ25" s="168"/>
    </row>
    <row r="26" spans="1:56" ht="14" thickBot="1" x14ac:dyDescent="0.2">
      <c r="A26" s="95"/>
      <c r="B26" s="95"/>
      <c r="C26" s="95"/>
      <c r="D26" s="95"/>
      <c r="E26" s="95"/>
      <c r="F26" s="95"/>
      <c r="G26" s="95"/>
      <c r="H26" s="96"/>
      <c r="I26" s="96"/>
      <c r="J26" s="95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</row>
    <row r="27" spans="1:56" ht="13" customHeight="1" x14ac:dyDescent="0.15">
      <c r="A27" s="95"/>
      <c r="B27" s="95"/>
      <c r="C27" s="95"/>
      <c r="D27" s="95"/>
      <c r="E27" s="197" t="str">
        <f>CONCATENATE("Provide Answer for the followings to an accuracy of 2.5%")</f>
        <v>Provide Answer for the followings to an accuracy of 2.5%</v>
      </c>
      <c r="F27" s="198"/>
      <c r="G27" s="198"/>
      <c r="H27" s="199"/>
      <c r="I27" s="95"/>
      <c r="J27" s="95"/>
      <c r="S27" s="98"/>
      <c r="T27" s="98"/>
      <c r="U27" s="98"/>
      <c r="V27" s="98"/>
      <c r="W27" s="98"/>
      <c r="X27" s="98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0"/>
    </row>
    <row r="28" spans="1:56" ht="13.5" customHeight="1" thickBot="1" x14ac:dyDescent="0.2">
      <c r="A28" s="95"/>
      <c r="B28" s="95"/>
      <c r="C28" s="95"/>
      <c r="D28" s="95"/>
      <c r="E28" s="200"/>
      <c r="F28" s="201"/>
      <c r="G28" s="201"/>
      <c r="H28" s="202"/>
      <c r="I28" s="95"/>
      <c r="J28" s="95"/>
      <c r="S28" s="98"/>
      <c r="T28" s="98"/>
      <c r="U28" s="98"/>
      <c r="V28" s="99"/>
      <c r="W28" s="100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</row>
    <row r="29" spans="1:56" ht="14" thickBot="1" x14ac:dyDescent="0.2">
      <c r="A29" s="95"/>
      <c r="B29" s="95"/>
      <c r="C29" s="95"/>
      <c r="D29" s="95"/>
      <c r="E29" s="91" t="s">
        <v>92</v>
      </c>
      <c r="F29" s="132" t="s">
        <v>91</v>
      </c>
      <c r="G29" s="132" t="s">
        <v>3</v>
      </c>
      <c r="H29" s="133" t="s">
        <v>4</v>
      </c>
      <c r="I29" s="95"/>
      <c r="J29" s="95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O29" s="99"/>
      <c r="AP29" s="102"/>
      <c r="AQ29" s="98"/>
      <c r="AR29" s="98"/>
      <c r="AS29" s="98"/>
      <c r="AT29" s="98"/>
      <c r="AU29" s="98"/>
      <c r="AW29" s="98"/>
      <c r="AX29" s="98"/>
      <c r="AY29" s="98"/>
      <c r="AZ29" s="98"/>
      <c r="BA29" s="98"/>
      <c r="BB29" s="105"/>
      <c r="BC29" s="106"/>
      <c r="BD29" s="97"/>
    </row>
    <row r="30" spans="1:56" ht="18" x14ac:dyDescent="0.25">
      <c r="A30" s="95"/>
      <c r="B30" s="95"/>
      <c r="C30" s="95"/>
      <c r="D30" s="95"/>
      <c r="E30" s="148" t="s">
        <v>96</v>
      </c>
      <c r="F30" s="151"/>
      <c r="G30" s="146"/>
      <c r="H30" s="144"/>
      <c r="I30" s="95"/>
      <c r="J30" s="95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O30" s="99"/>
      <c r="AP30" s="102"/>
      <c r="AQ30" s="98"/>
      <c r="AR30" s="98"/>
      <c r="AS30" s="98"/>
      <c r="AT30" s="98"/>
      <c r="AU30" s="98"/>
      <c r="AW30" s="98"/>
      <c r="AX30" s="98"/>
      <c r="AY30" s="98"/>
      <c r="AZ30" s="98"/>
      <c r="BA30" s="98"/>
      <c r="BB30" s="105"/>
      <c r="BC30" s="106"/>
      <c r="BD30" s="97"/>
    </row>
    <row r="31" spans="1:56" ht="18" x14ac:dyDescent="0.25">
      <c r="A31" s="95"/>
      <c r="B31" s="95"/>
      <c r="C31" s="95"/>
      <c r="D31" s="95"/>
      <c r="E31" s="149" t="s">
        <v>97</v>
      </c>
      <c r="F31" s="152"/>
      <c r="G31" s="143"/>
      <c r="H31" s="145"/>
      <c r="I31" s="95"/>
      <c r="J31" s="95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9"/>
      <c r="AJ31" s="98"/>
      <c r="AK31" s="98"/>
      <c r="AL31" s="98"/>
      <c r="AM31" s="98"/>
      <c r="AO31" s="99"/>
      <c r="AP31" s="102"/>
      <c r="AQ31" s="98"/>
      <c r="AR31" s="98"/>
      <c r="AS31" s="98"/>
      <c r="AT31" s="98"/>
      <c r="AU31" s="98"/>
      <c r="AW31" s="98"/>
      <c r="AX31" s="98"/>
      <c r="AY31" s="98"/>
      <c r="AZ31" s="98"/>
      <c r="BA31" s="98"/>
      <c r="BB31" s="105"/>
      <c r="BC31" s="106"/>
      <c r="BD31" s="97"/>
    </row>
    <row r="32" spans="1:56" ht="18" x14ac:dyDescent="0.25">
      <c r="A32" s="95"/>
      <c r="B32" s="95"/>
      <c r="C32" s="95"/>
      <c r="D32" s="155" t="s">
        <v>93</v>
      </c>
      <c r="E32" s="149" t="s">
        <v>98</v>
      </c>
      <c r="F32" s="152"/>
      <c r="G32" s="143"/>
      <c r="H32" s="145"/>
      <c r="I32" s="95"/>
      <c r="J32" s="95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9"/>
      <c r="AJ32" s="98"/>
      <c r="AK32" s="98"/>
      <c r="AL32" s="98"/>
      <c r="AM32" s="98"/>
      <c r="AO32" s="99"/>
      <c r="AP32" s="102"/>
      <c r="AQ32" s="98"/>
      <c r="AR32" s="98"/>
      <c r="AS32" s="98"/>
      <c r="AT32" s="98"/>
      <c r="AU32" s="98"/>
      <c r="AW32" s="98"/>
      <c r="AX32" s="98"/>
      <c r="AY32" s="98"/>
      <c r="AZ32" s="98"/>
      <c r="BA32" s="98"/>
      <c r="BB32" s="105"/>
      <c r="BC32" s="106"/>
      <c r="BD32" s="97"/>
    </row>
    <row r="33" spans="1:57" ht="18" x14ac:dyDescent="0.25">
      <c r="A33" s="95"/>
      <c r="B33" s="95"/>
      <c r="C33" s="95"/>
      <c r="D33" s="95"/>
      <c r="E33" s="149" t="s">
        <v>99</v>
      </c>
      <c r="F33" s="152"/>
      <c r="G33" s="143"/>
      <c r="H33" s="145"/>
      <c r="I33" s="196"/>
      <c r="J33" s="196"/>
      <c r="S33" s="98"/>
      <c r="T33" s="98"/>
      <c r="U33" s="103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9"/>
      <c r="AJ33" s="98"/>
      <c r="AK33" s="98"/>
      <c r="AL33" s="98"/>
      <c r="AM33" s="98"/>
      <c r="AO33" s="99"/>
      <c r="AP33" s="102"/>
      <c r="AQ33" s="98"/>
      <c r="AR33" s="98"/>
      <c r="AS33" s="98"/>
      <c r="AT33" s="98"/>
      <c r="AU33" s="98"/>
      <c r="AW33" s="99"/>
      <c r="AX33" s="107"/>
      <c r="AY33" s="106"/>
      <c r="AZ33" s="106"/>
      <c r="BA33" s="108"/>
      <c r="BB33" s="109"/>
      <c r="BC33" s="106"/>
      <c r="BD33" s="110"/>
      <c r="BE33" s="111"/>
    </row>
    <row r="34" spans="1:57" ht="18" x14ac:dyDescent="0.25">
      <c r="A34" s="95"/>
      <c r="B34" s="95"/>
      <c r="C34" s="95"/>
      <c r="D34" s="95"/>
      <c r="E34" s="149" t="s">
        <v>100</v>
      </c>
      <c r="F34" s="152"/>
      <c r="G34" s="143"/>
      <c r="H34" s="145"/>
      <c r="I34" s="95"/>
      <c r="J34" s="95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O34" s="98"/>
      <c r="AP34" s="98"/>
      <c r="AQ34" s="98"/>
      <c r="AR34" s="98"/>
      <c r="AS34" s="98"/>
      <c r="AT34" s="98"/>
      <c r="AU34" s="98"/>
    </row>
    <row r="35" spans="1:57" ht="18" x14ac:dyDescent="0.25">
      <c r="A35" s="95"/>
      <c r="B35" s="95"/>
      <c r="C35" s="95"/>
      <c r="D35" s="95"/>
      <c r="E35" s="149" t="s">
        <v>101</v>
      </c>
      <c r="F35" s="152"/>
      <c r="G35" s="143"/>
      <c r="H35" s="145"/>
      <c r="I35" s="95"/>
      <c r="J35" s="95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9"/>
      <c r="AJ35" s="98"/>
      <c r="AK35" s="98"/>
      <c r="AL35" s="98"/>
      <c r="AM35" s="98"/>
      <c r="AO35" s="99"/>
      <c r="AP35" s="102"/>
      <c r="AQ35" s="98"/>
      <c r="AR35" s="98"/>
      <c r="AS35" s="98"/>
      <c r="AT35" s="98"/>
      <c r="AU35" s="98"/>
    </row>
    <row r="36" spans="1:57" ht="18" x14ac:dyDescent="0.25">
      <c r="A36" s="95"/>
      <c r="B36" s="95"/>
      <c r="C36" s="95"/>
      <c r="D36" s="95"/>
      <c r="E36" s="149" t="s">
        <v>102</v>
      </c>
      <c r="F36" s="152"/>
      <c r="G36" s="143"/>
      <c r="H36" s="145"/>
      <c r="I36" s="95"/>
      <c r="J36" s="95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104"/>
      <c r="AL36" s="98"/>
      <c r="AM36" s="104"/>
      <c r="AO36" s="98"/>
      <c r="AP36" s="98"/>
      <c r="AQ36" s="98"/>
      <c r="AR36" s="98"/>
      <c r="AS36" s="98"/>
      <c r="AT36" s="98"/>
      <c r="AU36" s="98"/>
    </row>
    <row r="37" spans="1:57" ht="18" x14ac:dyDescent="0.25">
      <c r="A37" s="95"/>
      <c r="B37" s="95"/>
      <c r="C37" s="95"/>
      <c r="D37" s="95"/>
      <c r="E37" s="149" t="s">
        <v>103</v>
      </c>
      <c r="F37" s="152"/>
      <c r="G37" s="143"/>
      <c r="H37" s="145"/>
      <c r="I37" s="95"/>
      <c r="J37" s="95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</row>
    <row r="38" spans="1:57" ht="19" thickBot="1" x14ac:dyDescent="0.3">
      <c r="A38" s="95"/>
      <c r="B38" s="95"/>
      <c r="C38" s="95"/>
      <c r="D38" s="95"/>
      <c r="E38" s="150" t="s">
        <v>104</v>
      </c>
      <c r="F38" s="153"/>
      <c r="G38" s="147"/>
      <c r="H38" s="154"/>
      <c r="I38" s="95"/>
      <c r="J38" s="95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</row>
    <row r="39" spans="1:57" x14ac:dyDescent="0.15">
      <c r="A39" s="95"/>
      <c r="B39" s="95"/>
      <c r="C39" s="95"/>
      <c r="D39" s="156" t="s">
        <v>94</v>
      </c>
      <c r="E39" s="157" t="s">
        <v>107</v>
      </c>
      <c r="F39" s="95"/>
      <c r="G39" s="95"/>
      <c r="H39" s="95"/>
      <c r="I39" s="95"/>
      <c r="J39" s="95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</row>
    <row r="40" spans="1:57" x14ac:dyDescent="0.15">
      <c r="A40" s="95"/>
      <c r="B40" s="95"/>
      <c r="C40" s="95"/>
      <c r="D40" s="95"/>
      <c r="E40" s="95"/>
      <c r="F40" s="95"/>
      <c r="G40" s="95"/>
      <c r="H40" s="95"/>
      <c r="I40" s="95"/>
      <c r="J40" s="95"/>
    </row>
  </sheetData>
  <sheetProtection algorithmName="SHA-512" hashValue="Tg4Rv15z0ucTVYr6KByfrzzL0H6Dy5Ml5JUvWmBgXdiuWsnmEeA5rRhV4hFuPcOFRIjdtBiJDci3E6PA4YrhBA==" saltValue="jMBdmF9rjQSphFRznrfzTg==" spinCount="100000" sheet="1" objects="1" scenarios="1" selectLockedCells="1"/>
  <mergeCells count="2">
    <mergeCell ref="I33:J33"/>
    <mergeCell ref="E27:H28"/>
  </mergeCells>
  <dataValidations count="3">
    <dataValidation type="list" allowBlank="1" showInputMessage="1" showErrorMessage="1" sqref="H38" xr:uid="{00000000-0002-0000-0100-000000000000}">
      <formula1>$Y$7:$Y$10</formula1>
    </dataValidation>
    <dataValidation type="list" allowBlank="1" showInputMessage="1" showErrorMessage="1" sqref="G30:G38" xr:uid="{00000000-0002-0000-0100-000001000000}">
      <formula1>$Z$6:$Z$10</formula1>
    </dataValidation>
    <dataValidation type="list" allowBlank="1" showInputMessage="1" showErrorMessage="1" sqref="H30:H37" xr:uid="{00000000-0002-0000-0100-000002000000}">
      <formula1>$Y$15:$Y$18</formula1>
    </dataValidation>
  </dataValidations>
  <pageMargins left="0.74803149606299213" right="0.74803149606299213" top="0.98425196850393704" bottom="0.98425196850393704" header="0.51181102362204722" footer="0.51181102362204722"/>
  <pageSetup paperSize="9" scale="18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D133"/>
  <sheetViews>
    <sheetView tabSelected="1" zoomScaleNormal="100" workbookViewId="0">
      <selection activeCell="G35" sqref="G35"/>
    </sheetView>
  </sheetViews>
  <sheetFormatPr baseColWidth="10" defaultColWidth="8.83203125" defaultRowHeight="13" x14ac:dyDescent="0.15"/>
  <cols>
    <col min="1" max="1" width="8.83203125" style="90"/>
    <col min="2" max="2" width="8.83203125" style="90" customWidth="1"/>
    <col min="3" max="3" width="18.5" style="90" bestFit="1" customWidth="1"/>
    <col min="4" max="4" width="13.83203125" style="90" customWidth="1"/>
    <col min="5" max="5" width="45.1640625" style="90" customWidth="1"/>
    <col min="6" max="7" width="13.83203125" style="90" customWidth="1"/>
    <col min="8" max="8" width="22.83203125" style="90" customWidth="1"/>
    <col min="9" max="9" width="19" style="90" customWidth="1"/>
    <col min="10" max="10" width="13.83203125" style="90" customWidth="1"/>
    <col min="11" max="11" width="17.5" style="90" customWidth="1"/>
    <col min="12" max="12" width="11.83203125" style="90" customWidth="1"/>
    <col min="13" max="13" width="13.5" style="90" customWidth="1"/>
    <col min="14" max="26" width="11.83203125" style="90" customWidth="1"/>
    <col min="27" max="27" width="14.83203125" style="90" customWidth="1"/>
    <col min="28" max="41" width="11.83203125" style="90" customWidth="1"/>
    <col min="42" max="42" width="19.1640625" style="90" customWidth="1"/>
    <col min="43" max="43" width="19.5" style="90" customWidth="1"/>
    <col min="44" max="54" width="11.83203125" style="90" customWidth="1"/>
    <col min="55" max="16384" width="8.83203125" style="90"/>
  </cols>
  <sheetData>
    <row r="1" spans="1:50" s="94" customFormat="1" ht="16" x14ac:dyDescent="0.2">
      <c r="A1" s="93" t="e">
        <f>#REF!</f>
        <v>#REF!</v>
      </c>
      <c r="B1" s="26" t="s">
        <v>44</v>
      </c>
      <c r="C1" s="26" t="str">
        <f>IF(LEN(S_Id)&lt;7,"Invalid Student ID",CONCATENATE(S_Id," ", G_Name))</f>
        <v>24458491 Marco Arcidiacono</v>
      </c>
      <c r="S1" s="114"/>
      <c r="T1" s="114"/>
      <c r="U1" s="114"/>
      <c r="V1" s="114"/>
      <c r="W1" s="114"/>
      <c r="X1" s="114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</row>
    <row r="2" spans="1:50" s="94" customFormat="1" x14ac:dyDescent="0.15">
      <c r="S2" s="114"/>
      <c r="T2" s="114"/>
      <c r="U2" s="114"/>
      <c r="V2" s="114"/>
      <c r="W2" s="114"/>
      <c r="X2" s="114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</row>
    <row r="3" spans="1:50" ht="16" x14ac:dyDescent="0.2">
      <c r="A3" s="95"/>
      <c r="B3" s="95"/>
      <c r="C3" s="95"/>
      <c r="D3" s="95"/>
      <c r="E3" s="95"/>
      <c r="F3" s="95"/>
      <c r="G3" s="95"/>
      <c r="H3" s="95"/>
      <c r="I3" s="95"/>
      <c r="J3" s="95"/>
      <c r="S3" s="115"/>
      <c r="T3" s="115"/>
      <c r="U3" s="115"/>
      <c r="V3" s="115"/>
      <c r="W3" s="115"/>
      <c r="X3" s="182"/>
      <c r="Y3" s="180"/>
      <c r="Z3" s="180"/>
      <c r="AA3" s="180"/>
      <c r="AB3" s="180" t="s">
        <v>29</v>
      </c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2"/>
      <c r="AP3" s="115"/>
      <c r="AQ3" s="115"/>
      <c r="AR3" s="115"/>
      <c r="AS3" s="115"/>
      <c r="AT3" s="115"/>
      <c r="AU3" s="115"/>
      <c r="AV3" s="115"/>
      <c r="AW3" s="115"/>
      <c r="AX3" s="115"/>
    </row>
    <row r="4" spans="1:50" ht="16" x14ac:dyDescent="0.2">
      <c r="A4" s="95"/>
      <c r="B4" s="23" t="s">
        <v>88</v>
      </c>
      <c r="C4" s="95"/>
      <c r="D4" s="95"/>
      <c r="E4" s="95"/>
      <c r="F4" s="22"/>
      <c r="G4" s="22"/>
      <c r="H4" s="22"/>
      <c r="I4" s="22"/>
      <c r="J4" s="22"/>
      <c r="K4" s="21"/>
      <c r="S4" s="115"/>
      <c r="T4" s="115"/>
      <c r="U4" s="115"/>
      <c r="V4" s="115"/>
      <c r="W4" s="115"/>
      <c r="X4" s="182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2"/>
      <c r="AP4" s="115"/>
      <c r="AQ4" s="115"/>
      <c r="AR4" s="115"/>
      <c r="AS4" s="115"/>
      <c r="AT4" s="115"/>
      <c r="AU4" s="115"/>
      <c r="AV4" s="115"/>
      <c r="AW4" s="115"/>
      <c r="AX4" s="115"/>
    </row>
    <row r="5" spans="1:50" ht="16" x14ac:dyDescent="0.2">
      <c r="A5" s="95"/>
      <c r="B5" s="23" t="s">
        <v>89</v>
      </c>
      <c r="C5" s="95"/>
      <c r="D5" s="95"/>
      <c r="E5" s="95"/>
      <c r="F5" s="22"/>
      <c r="G5" s="22"/>
      <c r="H5" s="22"/>
      <c r="I5" s="22"/>
      <c r="J5" s="22"/>
      <c r="K5" s="21"/>
      <c r="S5" s="115"/>
      <c r="T5" s="115"/>
      <c r="U5" s="115"/>
      <c r="V5" s="115"/>
      <c r="W5" s="115"/>
      <c r="X5" s="182"/>
      <c r="Y5" s="180"/>
      <c r="Z5" s="180"/>
      <c r="AA5" s="169" t="s">
        <v>84</v>
      </c>
      <c r="AB5" s="170" t="s">
        <v>85</v>
      </c>
      <c r="AC5" s="171" t="s">
        <v>86</v>
      </c>
      <c r="AD5" s="172"/>
      <c r="AE5" s="171" t="s">
        <v>81</v>
      </c>
      <c r="AF5" s="171" t="s">
        <v>82</v>
      </c>
      <c r="AG5" s="172"/>
      <c r="AH5" s="171" t="s">
        <v>83</v>
      </c>
      <c r="AI5" s="173" t="s">
        <v>24</v>
      </c>
      <c r="AJ5" s="173" t="s">
        <v>25</v>
      </c>
      <c r="AK5" s="173" t="s">
        <v>26</v>
      </c>
      <c r="AL5" s="180"/>
      <c r="AM5" s="180"/>
      <c r="AN5" s="180"/>
      <c r="AO5" s="182"/>
      <c r="AP5" s="115"/>
      <c r="AQ5" s="115"/>
      <c r="AR5" s="115"/>
      <c r="AS5" s="115"/>
      <c r="AT5" s="115"/>
      <c r="AU5" s="115"/>
      <c r="AV5" s="115"/>
      <c r="AW5" s="115"/>
      <c r="AX5" s="115"/>
    </row>
    <row r="6" spans="1:50" ht="16" x14ac:dyDescent="0.2">
      <c r="A6" s="95"/>
      <c r="B6" s="23" t="s">
        <v>90</v>
      </c>
      <c r="C6" s="95"/>
      <c r="D6" s="95"/>
      <c r="E6" s="95"/>
      <c r="F6" s="22"/>
      <c r="G6" s="22"/>
      <c r="H6" s="22"/>
      <c r="I6" s="22"/>
      <c r="J6" s="22"/>
      <c r="K6" s="21"/>
      <c r="S6" s="115"/>
      <c r="T6" s="115"/>
      <c r="U6" s="115"/>
      <c r="V6" s="115"/>
      <c r="W6" s="115"/>
      <c r="X6" s="182"/>
      <c r="Y6" s="180"/>
      <c r="Z6" s="180" t="s">
        <v>0</v>
      </c>
      <c r="AA6" s="174" t="s">
        <v>30</v>
      </c>
      <c r="AB6" s="175" t="s">
        <v>1</v>
      </c>
      <c r="AC6" s="175">
        <f>AE6</f>
        <v>6.8</v>
      </c>
      <c r="AD6" s="172">
        <v>2</v>
      </c>
      <c r="AE6" s="175">
        <f t="shared" ref="AE6:AE12" si="0">StudentInput(S_Id,AD6,AI6,AJ6,10,AK6)</f>
        <v>6.8</v>
      </c>
      <c r="AF6" s="175">
        <v>6.4</v>
      </c>
      <c r="AG6" s="172"/>
      <c r="AH6" s="170" t="str">
        <f t="shared" ref="AH6:AH13" si="1">AA6</f>
        <v>a</v>
      </c>
      <c r="AI6" s="175">
        <v>5</v>
      </c>
      <c r="AJ6" s="175">
        <v>7</v>
      </c>
      <c r="AK6" s="175">
        <v>1</v>
      </c>
      <c r="AL6" s="180"/>
      <c r="AM6" s="180"/>
      <c r="AN6" s="180"/>
      <c r="AO6" s="182"/>
      <c r="AP6" s="115"/>
      <c r="AQ6" s="115"/>
      <c r="AR6" s="115"/>
      <c r="AS6" s="115"/>
      <c r="AT6" s="115"/>
      <c r="AU6" s="115"/>
      <c r="AV6" s="115"/>
      <c r="AW6" s="115"/>
      <c r="AX6" s="115"/>
    </row>
    <row r="7" spans="1:50" ht="16" x14ac:dyDescent="0.2">
      <c r="A7" s="95"/>
      <c r="B7" s="23" t="s">
        <v>49</v>
      </c>
      <c r="C7" s="95"/>
      <c r="D7" s="95"/>
      <c r="E7" s="95"/>
      <c r="F7" s="22"/>
      <c r="G7" s="22"/>
      <c r="H7" s="22"/>
      <c r="I7" s="22"/>
      <c r="J7" s="22"/>
      <c r="K7" s="21"/>
      <c r="S7" s="115"/>
      <c r="T7" s="115"/>
      <c r="U7" s="115"/>
      <c r="V7" s="115"/>
      <c r="W7" s="115"/>
      <c r="X7" s="182"/>
      <c r="Y7" s="168" t="s">
        <v>65</v>
      </c>
      <c r="Z7" s="168" t="s">
        <v>2</v>
      </c>
      <c r="AA7" s="174" t="s">
        <v>31</v>
      </c>
      <c r="AB7" s="175" t="s">
        <v>1</v>
      </c>
      <c r="AC7" s="175">
        <f t="shared" ref="AC7:AC13" si="2">AE7</f>
        <v>2.8</v>
      </c>
      <c r="AD7" s="172">
        <v>3</v>
      </c>
      <c r="AE7" s="175">
        <f t="shared" si="0"/>
        <v>2.8</v>
      </c>
      <c r="AF7" s="175">
        <v>3.4</v>
      </c>
      <c r="AG7" s="172"/>
      <c r="AH7" s="170" t="str">
        <f t="shared" si="1"/>
        <v>b</v>
      </c>
      <c r="AI7" s="175">
        <v>2</v>
      </c>
      <c r="AJ7" s="175">
        <v>4</v>
      </c>
      <c r="AK7" s="175">
        <v>1</v>
      </c>
      <c r="AL7" s="180"/>
      <c r="AM7" s="180"/>
      <c r="AN7" s="180"/>
      <c r="AO7" s="182"/>
      <c r="AP7" s="115"/>
      <c r="AQ7" s="115"/>
      <c r="AR7" s="115"/>
      <c r="AS7" s="115"/>
      <c r="AT7" s="115"/>
      <c r="AU7" s="115"/>
      <c r="AV7" s="115"/>
      <c r="AW7" s="115"/>
      <c r="AX7" s="115"/>
    </row>
    <row r="8" spans="1:50" ht="16" x14ac:dyDescent="0.2">
      <c r="A8" s="95"/>
      <c r="B8" s="95"/>
      <c r="C8" s="95"/>
      <c r="D8" s="95"/>
      <c r="E8" s="95"/>
      <c r="F8" s="22"/>
      <c r="G8" s="22"/>
      <c r="H8" s="22"/>
      <c r="I8" s="22"/>
      <c r="J8" s="22"/>
      <c r="K8" s="21"/>
      <c r="S8" s="115"/>
      <c r="T8" s="115"/>
      <c r="U8" s="115"/>
      <c r="V8" s="115"/>
      <c r="W8" s="115"/>
      <c r="X8" s="182"/>
      <c r="Y8" s="168" t="s">
        <v>66</v>
      </c>
      <c r="Z8" s="168" t="s">
        <v>38</v>
      </c>
      <c r="AA8" s="174" t="s">
        <v>37</v>
      </c>
      <c r="AB8" s="175" t="s">
        <v>1</v>
      </c>
      <c r="AC8" s="175">
        <f t="shared" si="2"/>
        <v>5.6</v>
      </c>
      <c r="AD8" s="172">
        <v>4</v>
      </c>
      <c r="AE8" s="175">
        <f t="shared" si="0"/>
        <v>5.6</v>
      </c>
      <c r="AF8" s="175">
        <v>5.4</v>
      </c>
      <c r="AG8" s="172"/>
      <c r="AH8" s="170" t="str">
        <f t="shared" si="1"/>
        <v>c</v>
      </c>
      <c r="AI8" s="175">
        <v>4</v>
      </c>
      <c r="AJ8" s="175">
        <v>6</v>
      </c>
      <c r="AK8" s="175">
        <v>1</v>
      </c>
      <c r="AL8" s="180"/>
      <c r="AM8" s="180"/>
      <c r="AN8" s="180"/>
      <c r="AO8" s="182"/>
      <c r="AP8" s="115"/>
      <c r="AQ8" s="115"/>
      <c r="AR8" s="115"/>
      <c r="AS8" s="115"/>
      <c r="AT8" s="115"/>
      <c r="AU8" s="115"/>
      <c r="AV8" s="115"/>
      <c r="AW8" s="115"/>
      <c r="AX8" s="115"/>
    </row>
    <row r="9" spans="1:50" ht="16" x14ac:dyDescent="0.2">
      <c r="A9" s="95"/>
      <c r="B9" s="23" t="s">
        <v>10</v>
      </c>
      <c r="C9" s="22"/>
      <c r="D9" s="22"/>
      <c r="E9" s="22"/>
      <c r="F9" s="22"/>
      <c r="G9" s="22"/>
      <c r="H9" s="22"/>
      <c r="I9" s="22"/>
      <c r="J9" s="22"/>
      <c r="K9" s="21"/>
      <c r="S9" s="115"/>
      <c r="T9" s="115"/>
      <c r="U9" s="115"/>
      <c r="V9" s="115"/>
      <c r="W9" s="115"/>
      <c r="X9" s="182"/>
      <c r="Y9" s="168" t="s">
        <v>67</v>
      </c>
      <c r="Z9" s="168" t="s">
        <v>69</v>
      </c>
      <c r="AA9" s="174" t="s">
        <v>76</v>
      </c>
      <c r="AB9" s="175" t="s">
        <v>1</v>
      </c>
      <c r="AC9" s="175">
        <f t="shared" si="2"/>
        <v>4</v>
      </c>
      <c r="AD9" s="172">
        <v>5</v>
      </c>
      <c r="AE9" s="175">
        <f t="shared" si="0"/>
        <v>4</v>
      </c>
      <c r="AF9" s="175">
        <v>4.4000000000000004</v>
      </c>
      <c r="AG9" s="172"/>
      <c r="AH9" s="170" t="str">
        <f t="shared" si="1"/>
        <v>d</v>
      </c>
      <c r="AI9" s="176">
        <v>3</v>
      </c>
      <c r="AJ9" s="176">
        <v>5</v>
      </c>
      <c r="AK9" s="175">
        <v>2</v>
      </c>
      <c r="AL9" s="180"/>
      <c r="AM9" s="180"/>
      <c r="AN9" s="180"/>
      <c r="AO9" s="182"/>
      <c r="AP9" s="115"/>
      <c r="AQ9" s="115"/>
      <c r="AR9" s="115"/>
      <c r="AS9" s="115"/>
      <c r="AT9" s="115"/>
      <c r="AU9" s="115"/>
      <c r="AV9" s="115"/>
      <c r="AW9" s="115"/>
      <c r="AX9" s="115"/>
    </row>
    <row r="10" spans="1:50" ht="16" x14ac:dyDescent="0.2">
      <c r="A10" s="95"/>
      <c r="B10" s="28" t="s">
        <v>70</v>
      </c>
      <c r="C10" s="28">
        <f>IF($C$1="Invalid Student ID","Please input ID",AC6)</f>
        <v>6.8</v>
      </c>
      <c r="D10" s="27" t="s">
        <v>1</v>
      </c>
      <c r="E10" s="22"/>
      <c r="F10" s="22"/>
      <c r="G10" s="22"/>
      <c r="H10" s="22"/>
      <c r="I10" s="22"/>
      <c r="J10" s="22"/>
      <c r="K10" s="21"/>
      <c r="S10" s="115"/>
      <c r="T10" s="115"/>
      <c r="U10" s="115"/>
      <c r="V10" s="115"/>
      <c r="W10" s="115"/>
      <c r="X10" s="182"/>
      <c r="Y10" s="168" t="s">
        <v>68</v>
      </c>
      <c r="Z10" s="168" t="s">
        <v>1</v>
      </c>
      <c r="AA10" s="174" t="s">
        <v>12</v>
      </c>
      <c r="AB10" s="175" t="s">
        <v>0</v>
      </c>
      <c r="AC10" s="175">
        <f t="shared" si="2"/>
        <v>290</v>
      </c>
      <c r="AD10" s="172">
        <v>4</v>
      </c>
      <c r="AE10" s="176">
        <f t="shared" si="0"/>
        <v>290</v>
      </c>
      <c r="AF10" s="175">
        <v>256</v>
      </c>
      <c r="AG10" s="172"/>
      <c r="AH10" s="170" t="str">
        <f t="shared" si="1"/>
        <v>F</v>
      </c>
      <c r="AI10" s="176">
        <v>250</v>
      </c>
      <c r="AJ10" s="176">
        <v>300</v>
      </c>
      <c r="AK10" s="175">
        <v>1</v>
      </c>
      <c r="AL10" s="180"/>
      <c r="AM10" s="180"/>
      <c r="AN10" s="180"/>
      <c r="AO10" s="182"/>
      <c r="AP10" s="115"/>
      <c r="AQ10" s="115"/>
      <c r="AR10" s="115"/>
      <c r="AS10" s="115"/>
      <c r="AT10" s="115"/>
      <c r="AU10" s="115"/>
      <c r="AV10" s="115"/>
      <c r="AW10" s="115"/>
      <c r="AX10" s="115"/>
    </row>
    <row r="11" spans="1:50" ht="16" x14ac:dyDescent="0.2">
      <c r="A11" s="95"/>
      <c r="B11" s="28" t="s">
        <v>71</v>
      </c>
      <c r="C11" s="28">
        <f t="shared" ref="C11:C13" si="3">IF($C$1="Invalid Student ID","Please input ID",AC7)</f>
        <v>2.8</v>
      </c>
      <c r="D11" s="27" t="s">
        <v>1</v>
      </c>
      <c r="E11" s="22"/>
      <c r="F11" s="22"/>
      <c r="G11" s="22"/>
      <c r="H11" s="22"/>
      <c r="I11" s="22"/>
      <c r="J11" s="22"/>
      <c r="K11" s="21"/>
      <c r="S11" s="115"/>
      <c r="T11" s="115"/>
      <c r="U11" s="115"/>
      <c r="V11" s="115"/>
      <c r="W11" s="115"/>
      <c r="X11" s="182"/>
      <c r="Y11" s="168" t="s">
        <v>11</v>
      </c>
      <c r="Z11" s="168"/>
      <c r="AA11" s="174" t="s">
        <v>35</v>
      </c>
      <c r="AB11" s="175" t="s">
        <v>38</v>
      </c>
      <c r="AC11" s="175">
        <f t="shared" si="2"/>
        <v>14</v>
      </c>
      <c r="AD11" s="172">
        <v>3</v>
      </c>
      <c r="AE11" s="175">
        <f t="shared" si="0"/>
        <v>14</v>
      </c>
      <c r="AF11" s="175">
        <v>22</v>
      </c>
      <c r="AG11" s="172"/>
      <c r="AH11" s="170" t="str">
        <f t="shared" si="1"/>
        <v>w</v>
      </c>
      <c r="AI11" s="177">
        <v>10</v>
      </c>
      <c r="AJ11" s="177">
        <v>20</v>
      </c>
      <c r="AK11" s="175">
        <v>2</v>
      </c>
      <c r="AL11" s="180"/>
      <c r="AM11" s="180"/>
      <c r="AN11" s="180"/>
      <c r="AO11" s="182"/>
      <c r="AP11" s="115"/>
      <c r="AQ11" s="115"/>
      <c r="AR11" s="115"/>
      <c r="AS11" s="115"/>
      <c r="AT11" s="115"/>
      <c r="AU11" s="115"/>
      <c r="AV11" s="115"/>
      <c r="AW11" s="115"/>
      <c r="AX11" s="115"/>
    </row>
    <row r="12" spans="1:50" ht="16" x14ac:dyDescent="0.2">
      <c r="A12" s="95"/>
      <c r="B12" s="28" t="s">
        <v>73</v>
      </c>
      <c r="C12" s="28">
        <f t="shared" si="3"/>
        <v>5.6</v>
      </c>
      <c r="D12" s="27" t="s">
        <v>1</v>
      </c>
      <c r="E12" s="22"/>
      <c r="F12" s="22"/>
      <c r="G12" s="22"/>
      <c r="H12" s="23"/>
      <c r="I12" s="22"/>
      <c r="J12" s="22"/>
      <c r="K12" s="21"/>
      <c r="S12" s="115"/>
      <c r="T12" s="115"/>
      <c r="U12" s="115"/>
      <c r="V12" s="115"/>
      <c r="W12" s="115"/>
      <c r="X12" s="182"/>
      <c r="Y12" s="168" t="s">
        <v>14</v>
      </c>
      <c r="Z12" s="168"/>
      <c r="AA12" s="174" t="s">
        <v>64</v>
      </c>
      <c r="AB12" s="175" t="s">
        <v>106</v>
      </c>
      <c r="AC12" s="175">
        <f t="shared" si="2"/>
        <v>280</v>
      </c>
      <c r="AD12" s="172">
        <v>2</v>
      </c>
      <c r="AE12" s="175">
        <f t="shared" si="0"/>
        <v>280</v>
      </c>
      <c r="AF12" s="178">
        <v>240</v>
      </c>
      <c r="AG12" s="172"/>
      <c r="AH12" s="170" t="str">
        <f t="shared" si="1"/>
        <v>EI</v>
      </c>
      <c r="AI12" s="177">
        <v>100</v>
      </c>
      <c r="AJ12" s="177">
        <v>300</v>
      </c>
      <c r="AK12" s="175">
        <v>4</v>
      </c>
      <c r="AL12" s="180"/>
      <c r="AM12" s="180"/>
      <c r="AN12" s="180"/>
      <c r="AO12" s="182"/>
      <c r="AP12" s="115"/>
      <c r="AQ12" s="115"/>
      <c r="AR12" s="115"/>
      <c r="AS12" s="115"/>
      <c r="AT12" s="115"/>
      <c r="AU12" s="115"/>
      <c r="AV12" s="115"/>
      <c r="AW12" s="115"/>
      <c r="AX12" s="115"/>
    </row>
    <row r="13" spans="1:50" ht="15.75" customHeight="1" x14ac:dyDescent="0.2">
      <c r="A13" s="95"/>
      <c r="B13" s="28" t="s">
        <v>72</v>
      </c>
      <c r="C13" s="28">
        <f t="shared" si="3"/>
        <v>4</v>
      </c>
      <c r="D13" s="27" t="s">
        <v>1</v>
      </c>
      <c r="E13" s="22"/>
      <c r="F13" s="22"/>
      <c r="G13" s="22"/>
      <c r="H13" s="127"/>
      <c r="I13" s="127"/>
      <c r="J13" s="128"/>
      <c r="K13" s="21"/>
      <c r="M13" s="137"/>
      <c r="N13" s="138"/>
      <c r="O13" s="137"/>
      <c r="P13" s="137"/>
      <c r="Q13" s="137"/>
      <c r="R13" s="137"/>
      <c r="S13" s="115"/>
      <c r="T13" s="115"/>
      <c r="U13" s="115"/>
      <c r="V13" s="115"/>
      <c r="W13" s="115"/>
      <c r="X13" s="182"/>
      <c r="Y13" s="168" t="s">
        <v>15</v>
      </c>
      <c r="Z13" s="168"/>
      <c r="AA13" s="174" t="s">
        <v>63</v>
      </c>
      <c r="AB13" s="175" t="s">
        <v>0</v>
      </c>
      <c r="AC13" s="175" t="str">
        <f t="shared" si="2"/>
        <v>∞</v>
      </c>
      <c r="AD13" s="172">
        <v>1</v>
      </c>
      <c r="AE13" s="175" t="s">
        <v>74</v>
      </c>
      <c r="AF13" s="175" t="s">
        <v>74</v>
      </c>
      <c r="AG13" s="172"/>
      <c r="AH13" s="170" t="str">
        <f t="shared" si="1"/>
        <v>EA</v>
      </c>
      <c r="AI13" s="179">
        <v>100000</v>
      </c>
      <c r="AJ13" s="179">
        <v>140000</v>
      </c>
      <c r="AK13" s="172">
        <v>4</v>
      </c>
      <c r="AL13" s="180"/>
      <c r="AM13" s="180"/>
      <c r="AN13" s="180"/>
      <c r="AO13" s="182"/>
      <c r="AP13" s="115"/>
      <c r="AQ13" s="115"/>
      <c r="AR13" s="115"/>
      <c r="AS13" s="115"/>
      <c r="AT13" s="115"/>
      <c r="AU13" s="115"/>
      <c r="AV13" s="115"/>
      <c r="AW13" s="115"/>
      <c r="AX13" s="115"/>
    </row>
    <row r="14" spans="1:50" ht="15.75" customHeight="1" x14ac:dyDescent="0.2">
      <c r="A14" s="95"/>
      <c r="B14" s="28" t="s">
        <v>79</v>
      </c>
      <c r="C14" s="28">
        <f>IF($C$1="Invalid Student ID","Please input ID",AC12)</f>
        <v>280</v>
      </c>
      <c r="D14" s="27" t="s">
        <v>75</v>
      </c>
      <c r="E14" s="22"/>
      <c r="F14" s="22"/>
      <c r="G14" s="22"/>
      <c r="H14" s="127"/>
      <c r="I14" s="127"/>
      <c r="J14" s="128"/>
      <c r="K14" s="21"/>
      <c r="M14" s="137"/>
      <c r="N14" s="137"/>
      <c r="O14" s="137"/>
      <c r="P14" s="137"/>
      <c r="Q14" s="137"/>
      <c r="R14" s="137"/>
      <c r="S14" s="115"/>
      <c r="T14" s="115"/>
      <c r="U14" s="115"/>
      <c r="V14" s="115"/>
      <c r="W14" s="115"/>
      <c r="X14" s="182"/>
      <c r="Y14" s="168" t="s">
        <v>16</v>
      </c>
      <c r="Z14" s="168"/>
      <c r="AA14" s="168"/>
      <c r="AB14" s="180"/>
      <c r="AC14" s="180"/>
      <c r="AD14" s="168"/>
      <c r="AE14" s="168"/>
      <c r="AF14" s="180"/>
      <c r="AG14" s="180"/>
      <c r="AH14" s="180"/>
      <c r="AI14" s="180"/>
      <c r="AJ14" s="180"/>
      <c r="AK14" s="180"/>
      <c r="AL14" s="172">
        <v>8</v>
      </c>
      <c r="AM14" s="172">
        <v>9</v>
      </c>
      <c r="AN14" s="172">
        <v>0</v>
      </c>
      <c r="AO14" s="182"/>
      <c r="AP14" s="115"/>
      <c r="AQ14" s="115"/>
      <c r="AR14" s="115"/>
      <c r="AS14" s="115"/>
      <c r="AT14" s="115"/>
      <c r="AU14" s="115"/>
      <c r="AV14" s="115"/>
      <c r="AW14" s="115"/>
      <c r="AX14" s="115"/>
    </row>
    <row r="15" spans="1:50" ht="15.75" customHeight="1" x14ac:dyDescent="0.2">
      <c r="A15" s="95"/>
      <c r="B15" s="28" t="s">
        <v>80</v>
      </c>
      <c r="C15" s="28" t="str">
        <f>IF($C$1="Invalid Student ID","Please input ID",AC13)</f>
        <v>∞</v>
      </c>
      <c r="D15" s="27" t="s">
        <v>0</v>
      </c>
      <c r="E15" s="22"/>
      <c r="F15" s="22"/>
      <c r="G15" s="22"/>
      <c r="H15" s="25"/>
      <c r="I15" s="25"/>
      <c r="J15" s="25"/>
      <c r="K15" s="21"/>
      <c r="S15" s="115"/>
      <c r="T15" s="115"/>
      <c r="U15" s="115"/>
      <c r="V15" s="115"/>
      <c r="W15" s="115"/>
      <c r="X15" s="182"/>
      <c r="Y15" s="168" t="s">
        <v>17</v>
      </c>
      <c r="Z15" s="168"/>
      <c r="AA15" s="168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>
        <v>80</v>
      </c>
      <c r="AM15" s="180">
        <v>85</v>
      </c>
      <c r="AN15" s="180">
        <v>90</v>
      </c>
      <c r="AO15" s="182"/>
      <c r="AP15" s="115"/>
      <c r="AQ15" s="115"/>
      <c r="AR15" s="115"/>
      <c r="AS15" s="115"/>
      <c r="AT15" s="115"/>
      <c r="AU15" s="115"/>
      <c r="AV15" s="115"/>
      <c r="AW15" s="115"/>
      <c r="AX15" s="115"/>
    </row>
    <row r="16" spans="1:50" ht="15.75" customHeight="1" x14ac:dyDescent="0.2">
      <c r="A16" s="95"/>
      <c r="B16" s="23" t="s">
        <v>62</v>
      </c>
      <c r="C16" s="22"/>
      <c r="D16" s="22"/>
      <c r="E16" s="22"/>
      <c r="F16" s="22"/>
      <c r="G16" s="22"/>
      <c r="H16" s="23"/>
      <c r="I16" s="22"/>
      <c r="J16" s="22"/>
      <c r="K16" s="21"/>
      <c r="S16" s="115"/>
      <c r="T16" s="115"/>
      <c r="U16" s="115"/>
      <c r="V16" s="115"/>
      <c r="W16" s="115"/>
      <c r="X16" s="182"/>
      <c r="Y16" s="168" t="s">
        <v>18</v>
      </c>
      <c r="Z16" s="168"/>
      <c r="AA16" s="168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4">
        <v>5.5000000000000003E-4</v>
      </c>
      <c r="AM16" s="184">
        <v>5.9999999999999995E-4</v>
      </c>
      <c r="AN16" s="184">
        <v>6.4999999999999997E-4</v>
      </c>
      <c r="AO16" s="182"/>
      <c r="AP16" s="115"/>
      <c r="AQ16" s="115"/>
      <c r="AR16" s="115"/>
      <c r="AS16" s="115"/>
      <c r="AT16" s="115"/>
      <c r="AU16" s="115"/>
      <c r="AV16" s="115"/>
      <c r="AW16" s="115"/>
      <c r="AX16" s="115"/>
    </row>
    <row r="17" spans="1:55" ht="15.75" customHeight="1" x14ac:dyDescent="0.2">
      <c r="A17" s="95"/>
      <c r="B17" s="28" t="s">
        <v>87</v>
      </c>
      <c r="C17" s="28">
        <f>IF($C$1="Invalid Student ID","Please input ID",AC10)</f>
        <v>290</v>
      </c>
      <c r="D17" s="27" t="s">
        <v>0</v>
      </c>
      <c r="E17" s="22"/>
      <c r="F17" s="22"/>
      <c r="G17" s="22"/>
      <c r="H17" s="24"/>
      <c r="I17" s="25"/>
      <c r="J17" s="22"/>
      <c r="K17" s="21"/>
      <c r="S17" s="115"/>
      <c r="T17" s="115"/>
      <c r="U17" s="115"/>
      <c r="V17" s="115"/>
      <c r="W17" s="115"/>
      <c r="X17" s="182"/>
      <c r="Y17" s="168" t="s">
        <v>19</v>
      </c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80">
        <v>0.04</v>
      </c>
      <c r="AM17" s="180">
        <v>4.4999999999999998E-2</v>
      </c>
      <c r="AN17" s="180">
        <v>0.05</v>
      </c>
      <c r="AO17" s="182"/>
      <c r="AP17" s="115"/>
      <c r="AQ17" s="115"/>
      <c r="AR17" s="115"/>
      <c r="AS17" s="115"/>
      <c r="AT17" s="115"/>
      <c r="AU17" s="115"/>
      <c r="AV17" s="115"/>
      <c r="AW17" s="115"/>
      <c r="AX17" s="115"/>
    </row>
    <row r="18" spans="1:55" ht="15.75" customHeight="1" x14ac:dyDescent="0.2">
      <c r="A18" s="95"/>
      <c r="B18" s="28" t="s">
        <v>78</v>
      </c>
      <c r="C18" s="28">
        <f>IF($C$1="Invalid Student ID","Please input ID",AC11)</f>
        <v>14</v>
      </c>
      <c r="D18" s="27" t="s">
        <v>38</v>
      </c>
      <c r="E18" s="22"/>
      <c r="F18" s="22"/>
      <c r="G18" s="22"/>
      <c r="H18" s="24"/>
      <c r="I18" s="22"/>
      <c r="J18" s="22"/>
      <c r="K18" s="21"/>
      <c r="S18" s="115"/>
      <c r="T18" s="115"/>
      <c r="U18" s="115"/>
      <c r="V18" s="115"/>
      <c r="W18" s="115"/>
      <c r="X18" s="182"/>
      <c r="Y18" s="168" t="s">
        <v>20</v>
      </c>
      <c r="Z18" s="168"/>
      <c r="AA18" s="168"/>
      <c r="AB18" s="168"/>
      <c r="AC18" s="180"/>
      <c r="AD18" s="180"/>
      <c r="AE18" s="180"/>
      <c r="AF18" s="180"/>
      <c r="AG18" s="180"/>
      <c r="AH18" s="180"/>
      <c r="AI18" s="180"/>
      <c r="AJ18" s="180"/>
      <c r="AK18" s="180"/>
      <c r="AL18" s="172"/>
      <c r="AM18" s="172"/>
      <c r="AN18" s="172"/>
      <c r="AO18" s="172"/>
      <c r="AP18" s="115"/>
      <c r="AQ18" s="115"/>
      <c r="AR18" s="115"/>
      <c r="AS18" s="115"/>
      <c r="AT18" s="115"/>
      <c r="AU18" s="115"/>
      <c r="AV18" s="115"/>
      <c r="AW18" s="115"/>
      <c r="AX18" s="115"/>
    </row>
    <row r="19" spans="1:55" ht="15.75" customHeight="1" x14ac:dyDescent="0.2">
      <c r="A19" s="95"/>
      <c r="B19" s="95"/>
      <c r="C19" s="95"/>
      <c r="D19" s="127"/>
      <c r="E19" s="22"/>
      <c r="F19" s="22"/>
      <c r="G19" s="22"/>
      <c r="H19" s="24"/>
      <c r="I19" s="22"/>
      <c r="J19" s="22"/>
      <c r="K19" s="21"/>
      <c r="S19" s="115"/>
      <c r="T19" s="115"/>
      <c r="U19" s="115"/>
      <c r="V19" s="115"/>
      <c r="W19" s="115"/>
      <c r="X19" s="182"/>
      <c r="Y19" s="180" t="s">
        <v>21</v>
      </c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2"/>
      <c r="AP19" s="115"/>
      <c r="AQ19" s="115"/>
      <c r="AR19" s="115"/>
      <c r="AS19" s="115"/>
      <c r="AT19" s="115"/>
      <c r="AU19" s="115"/>
      <c r="AV19" s="115"/>
      <c r="AW19" s="115"/>
      <c r="AX19" s="115"/>
    </row>
    <row r="20" spans="1:55" ht="15.75" customHeight="1" x14ac:dyDescent="0.2">
      <c r="A20" s="95"/>
      <c r="B20" s="95"/>
      <c r="C20" s="95"/>
      <c r="D20" s="127"/>
      <c r="E20" s="22"/>
      <c r="F20" s="22"/>
      <c r="G20" s="22"/>
      <c r="H20" s="22"/>
      <c r="I20" s="22"/>
      <c r="J20" s="22"/>
      <c r="K20" s="21"/>
      <c r="S20" s="115"/>
      <c r="T20" s="115"/>
      <c r="U20" s="115"/>
      <c r="V20" s="115"/>
      <c r="W20" s="115"/>
      <c r="X20" s="182"/>
      <c r="Y20" s="180" t="s">
        <v>22</v>
      </c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2"/>
      <c r="AP20" s="115"/>
      <c r="AQ20" s="115"/>
      <c r="AR20" s="115"/>
      <c r="AS20" s="115"/>
      <c r="AT20" s="115"/>
      <c r="AU20" s="115"/>
      <c r="AV20" s="115"/>
      <c r="AW20" s="115"/>
      <c r="AX20" s="115"/>
    </row>
    <row r="21" spans="1:55" ht="15.75" customHeight="1" x14ac:dyDescent="0.2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21"/>
      <c r="S21" s="115"/>
      <c r="T21" s="115"/>
      <c r="U21" s="115"/>
      <c r="V21" s="115"/>
      <c r="W21" s="115"/>
      <c r="X21" s="182"/>
      <c r="Y21" s="180" t="s">
        <v>23</v>
      </c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>
        <f>AL15-'eTask 4.1'!AM15</f>
        <v>80</v>
      </c>
      <c r="AM21" s="180">
        <f>AM15-'eTask 4.1'!AN15</f>
        <v>85</v>
      </c>
      <c r="AN21" s="180">
        <f>AN15-'eTask 4.1'!AO15</f>
        <v>90</v>
      </c>
      <c r="AO21" s="182"/>
      <c r="AP21" s="115"/>
      <c r="AQ21" s="115"/>
      <c r="AR21" s="115"/>
      <c r="AS21" s="115"/>
      <c r="AT21" s="115"/>
      <c r="AU21" s="115"/>
      <c r="AV21" s="115"/>
      <c r="AW21" s="115"/>
      <c r="AX21" s="115"/>
    </row>
    <row r="22" spans="1:55" ht="16" x14ac:dyDescent="0.2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21"/>
      <c r="S22" s="115"/>
      <c r="T22" s="115"/>
      <c r="U22" s="115"/>
      <c r="V22" s="115"/>
      <c r="W22" s="115"/>
      <c r="X22" s="182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80">
        <f>AL16-'eTask 4.1'!AM16</f>
        <v>5.5000000000000003E-4</v>
      </c>
      <c r="AM22" s="180">
        <f>AM16-'eTask 4.1'!AN16</f>
        <v>5.9999999999999995E-4</v>
      </c>
      <c r="AN22" s="180">
        <f>AN16-'eTask 4.1'!AO16</f>
        <v>6.4999999999999997E-4</v>
      </c>
      <c r="AO22" s="182"/>
      <c r="AP22" s="115"/>
      <c r="AQ22" s="115"/>
      <c r="AR22" s="115"/>
      <c r="AS22" s="115"/>
      <c r="AT22" s="115"/>
      <c r="AU22" s="115"/>
      <c r="AV22" s="115"/>
      <c r="AW22" s="115"/>
      <c r="AX22" s="115"/>
    </row>
    <row r="23" spans="1:55" ht="16" x14ac:dyDescent="0.2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21"/>
      <c r="S23" s="115"/>
      <c r="T23" s="115"/>
      <c r="U23" s="115"/>
      <c r="V23" s="115"/>
      <c r="W23" s="115"/>
      <c r="X23" s="182"/>
      <c r="Y23" s="182"/>
      <c r="Z23" s="182"/>
      <c r="AA23" s="182"/>
      <c r="AB23" s="180">
        <f>AB17-'eTask 4.1'!AC17</f>
        <v>0</v>
      </c>
      <c r="AC23" s="180">
        <f>AC17-'eTask 4.1'!AD17</f>
        <v>0</v>
      </c>
      <c r="AD23" s="180">
        <f>AD17-'eTask 4.1'!AE17</f>
        <v>0</v>
      </c>
      <c r="AE23" s="180">
        <f>AE17-'eTask 4.1'!AF17</f>
        <v>0</v>
      </c>
      <c r="AF23" s="180">
        <f>AF17-'eTask 4.1'!AG17</f>
        <v>0</v>
      </c>
      <c r="AG23" s="180">
        <f>AG17-'eTask 4.1'!AH17</f>
        <v>0</v>
      </c>
      <c r="AH23" s="180">
        <f>AH17-'eTask 4.1'!AI17</f>
        <v>0</v>
      </c>
      <c r="AI23" s="180">
        <f>AI17-'eTask 4.1'!AJ17</f>
        <v>0</v>
      </c>
      <c r="AJ23" s="180">
        <f>AJ17-'eTask 4.1'!AK17</f>
        <v>0</v>
      </c>
      <c r="AK23" s="180">
        <f>AK17-'eTask 4.1'!AL17</f>
        <v>0</v>
      </c>
      <c r="AL23" s="180">
        <f>AL17-'eTask 4.1'!AM17</f>
        <v>0.04</v>
      </c>
      <c r="AM23" s="180">
        <f>AM17-'eTask 4.1'!AN17</f>
        <v>4.4999999999999998E-2</v>
      </c>
      <c r="AN23" s="180">
        <f>AN17-'eTask 4.1'!AO17</f>
        <v>0.05</v>
      </c>
      <c r="AO23" s="182"/>
      <c r="AP23" s="115"/>
      <c r="AQ23" s="115"/>
      <c r="AR23" s="115"/>
      <c r="AS23" s="115"/>
      <c r="AT23" s="115"/>
      <c r="AU23" s="115"/>
      <c r="AV23" s="115"/>
      <c r="AW23" s="115"/>
      <c r="AX23" s="115"/>
    </row>
    <row r="24" spans="1:55" ht="16" x14ac:dyDescent="0.2">
      <c r="A24" s="95"/>
      <c r="B24" s="95"/>
      <c r="C24" s="95"/>
      <c r="D24" s="95"/>
      <c r="E24" s="22"/>
      <c r="F24" s="22"/>
      <c r="G24" s="95"/>
      <c r="H24" s="95"/>
      <c r="I24" s="95"/>
      <c r="J24" s="95"/>
      <c r="K24" s="21"/>
      <c r="S24" s="115"/>
      <c r="T24" s="115"/>
      <c r="U24" s="115"/>
      <c r="V24" s="115"/>
      <c r="W24" s="115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P24" s="115"/>
      <c r="AQ24" s="115"/>
      <c r="AR24" s="115"/>
      <c r="AS24" s="115"/>
      <c r="AT24" s="115"/>
      <c r="AU24" s="115"/>
      <c r="AV24" s="115"/>
      <c r="AW24" s="115"/>
      <c r="AX24" s="115"/>
    </row>
    <row r="25" spans="1:55" ht="16" x14ac:dyDescent="0.2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21"/>
      <c r="S25" s="115"/>
      <c r="T25" s="115"/>
      <c r="U25" s="115"/>
      <c r="V25" s="115"/>
      <c r="W25" s="115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P25" s="115"/>
      <c r="AQ25" s="115"/>
      <c r="AR25" s="115"/>
      <c r="AS25" s="115"/>
      <c r="AT25" s="115"/>
      <c r="AU25" s="115"/>
      <c r="AV25" s="115"/>
      <c r="AW25" s="115"/>
      <c r="AX25" s="115"/>
    </row>
    <row r="26" spans="1:55" ht="16" x14ac:dyDescent="0.2">
      <c r="A26" s="95"/>
      <c r="B26" s="95"/>
      <c r="C26" s="95"/>
      <c r="D26" s="95"/>
      <c r="E26" s="95"/>
      <c r="F26" s="95"/>
      <c r="G26" s="95"/>
      <c r="H26" s="96"/>
      <c r="I26" s="96"/>
      <c r="J26" s="95"/>
      <c r="K26" s="21"/>
      <c r="S26" s="115"/>
      <c r="T26" s="115"/>
      <c r="U26" s="115"/>
      <c r="V26" s="115"/>
      <c r="W26" s="115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82"/>
      <c r="AI26" s="182"/>
      <c r="AJ26" s="182"/>
      <c r="AK26" s="182"/>
      <c r="AL26" s="182"/>
      <c r="AM26" s="182"/>
      <c r="AN26" s="182"/>
      <c r="AO26" s="182"/>
      <c r="AP26" s="115"/>
      <c r="AQ26" s="115"/>
      <c r="AR26" s="115"/>
      <c r="AS26" s="115"/>
      <c r="AT26" s="115"/>
      <c r="AU26" s="115"/>
      <c r="AV26" s="115"/>
      <c r="AW26" s="115"/>
      <c r="AX26" s="115"/>
    </row>
    <row r="27" spans="1:55" ht="17" thickBot="1" x14ac:dyDescent="0.25">
      <c r="A27" s="95"/>
      <c r="B27" s="95"/>
      <c r="C27" s="95"/>
      <c r="D27" s="95"/>
      <c r="E27" s="95"/>
      <c r="F27" s="95"/>
      <c r="G27" s="95"/>
      <c r="H27" s="96"/>
      <c r="I27" s="96"/>
      <c r="J27" s="95"/>
      <c r="K27" s="21"/>
      <c r="S27" s="116"/>
      <c r="T27" s="116"/>
      <c r="U27" s="116"/>
      <c r="V27" s="116"/>
      <c r="W27" s="116"/>
      <c r="X27" s="182"/>
      <c r="Y27" s="182"/>
      <c r="Z27" s="182"/>
      <c r="AA27" s="182"/>
      <c r="AB27" s="182"/>
      <c r="AC27" s="182"/>
      <c r="AD27" s="182"/>
      <c r="AE27" s="182"/>
      <c r="AF27" s="182"/>
      <c r="AG27" s="182"/>
      <c r="AH27" s="182"/>
      <c r="AI27" s="182"/>
      <c r="AJ27" s="182"/>
      <c r="AK27" s="182"/>
      <c r="AL27" s="182"/>
      <c r="AM27" s="182"/>
      <c r="AN27" s="182"/>
      <c r="AO27" s="182"/>
      <c r="AP27" s="115"/>
      <c r="AQ27" s="115"/>
      <c r="AR27" s="115"/>
      <c r="AS27" s="115"/>
      <c r="AT27" s="115"/>
      <c r="AU27" s="115"/>
      <c r="AV27" s="115"/>
      <c r="AW27" s="115"/>
      <c r="AX27" s="115"/>
    </row>
    <row r="28" spans="1:55" ht="16" x14ac:dyDescent="0.2">
      <c r="A28" s="95"/>
      <c r="B28" s="95"/>
      <c r="C28" s="95"/>
      <c r="D28" s="95"/>
      <c r="E28" s="197" t="str">
        <f>CONCATENATE("Provide Answer for the followings to an accuracy of 2.5%")</f>
        <v>Provide Answer for the followings to an accuracy of 2.5%</v>
      </c>
      <c r="F28" s="198"/>
      <c r="G28" s="198"/>
      <c r="H28" s="199"/>
      <c r="I28" s="95"/>
      <c r="J28" s="95"/>
      <c r="K28" s="21"/>
      <c r="S28" s="116"/>
      <c r="T28" s="116"/>
      <c r="U28" s="116"/>
      <c r="V28" s="117"/>
      <c r="W28" s="118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  <c r="AH28" s="183"/>
      <c r="AI28" s="182"/>
      <c r="AJ28" s="182"/>
      <c r="AK28" s="182"/>
      <c r="AL28" s="182"/>
      <c r="AM28" s="182"/>
      <c r="AN28" s="182"/>
      <c r="AO28" s="182"/>
      <c r="AP28" s="115"/>
      <c r="AQ28" s="115"/>
      <c r="AR28" s="115"/>
      <c r="AS28" s="115"/>
      <c r="AT28" s="115"/>
      <c r="AU28" s="115"/>
      <c r="AV28" s="115"/>
      <c r="AW28" s="115"/>
      <c r="AX28" s="115"/>
    </row>
    <row r="29" spans="1:55" ht="13.25" customHeight="1" thickBot="1" x14ac:dyDescent="0.25">
      <c r="A29" s="95"/>
      <c r="B29" s="95"/>
      <c r="C29" s="95"/>
      <c r="D29" s="95"/>
      <c r="E29" s="200"/>
      <c r="F29" s="201"/>
      <c r="G29" s="201"/>
      <c r="H29" s="202"/>
      <c r="I29" s="203"/>
      <c r="J29" s="203"/>
      <c r="K29" s="21"/>
      <c r="S29" s="116"/>
      <c r="T29" s="116"/>
      <c r="U29" s="116"/>
      <c r="V29" s="116"/>
      <c r="W29" s="116"/>
      <c r="X29" s="116"/>
      <c r="Y29" s="135"/>
      <c r="Z29" s="135"/>
      <c r="AA29" s="135"/>
      <c r="AB29" s="135"/>
      <c r="AC29" s="135"/>
      <c r="AD29" s="135"/>
      <c r="AE29" s="135"/>
      <c r="AF29" s="135"/>
      <c r="AG29" s="135"/>
      <c r="AH29" s="136"/>
      <c r="AI29" s="116"/>
      <c r="AJ29" s="116"/>
      <c r="AK29" s="116"/>
      <c r="AL29" s="116"/>
      <c r="AM29" s="115"/>
      <c r="AN29" s="119"/>
      <c r="AO29" s="116"/>
      <c r="AP29" s="116"/>
      <c r="AQ29" s="116"/>
      <c r="AR29" s="116"/>
      <c r="AS29" s="116"/>
      <c r="AT29" s="116"/>
      <c r="AU29" s="115"/>
      <c r="AV29" s="120"/>
      <c r="AW29" s="115"/>
      <c r="AX29" s="115"/>
      <c r="BA29" s="101"/>
    </row>
    <row r="30" spans="1:55" ht="13.75" customHeight="1" thickBot="1" x14ac:dyDescent="0.25">
      <c r="A30" s="95"/>
      <c r="B30" s="95"/>
      <c r="C30" s="95"/>
      <c r="D30" s="95"/>
      <c r="E30" s="91" t="s">
        <v>92</v>
      </c>
      <c r="F30" s="132" t="s">
        <v>91</v>
      </c>
      <c r="G30" s="132" t="s">
        <v>3</v>
      </c>
      <c r="H30" s="133" t="s">
        <v>4</v>
      </c>
      <c r="I30" s="95"/>
      <c r="J30" s="95"/>
      <c r="K30" s="21"/>
      <c r="S30" s="116"/>
      <c r="T30" s="116"/>
      <c r="U30" s="116"/>
      <c r="V30" s="116"/>
      <c r="W30" s="116"/>
      <c r="X30" s="116"/>
      <c r="Y30" s="135"/>
      <c r="Z30" s="135"/>
      <c r="AA30" s="135"/>
      <c r="AB30" s="135"/>
      <c r="AC30" s="135"/>
      <c r="AD30" s="135"/>
      <c r="AE30" s="135"/>
      <c r="AF30" s="135"/>
      <c r="AG30" s="135"/>
      <c r="AH30" s="136"/>
      <c r="AI30" s="116"/>
      <c r="AJ30" s="116"/>
      <c r="AK30" s="116"/>
      <c r="AL30" s="116"/>
      <c r="AM30" s="115"/>
      <c r="AN30" s="117"/>
      <c r="AO30" s="121"/>
      <c r="AP30" s="116"/>
      <c r="AQ30" s="116"/>
      <c r="AR30" s="116"/>
      <c r="AS30" s="116"/>
      <c r="AT30" s="116"/>
      <c r="AU30" s="115"/>
      <c r="AV30" s="116"/>
      <c r="AW30" s="116"/>
      <c r="AX30" s="116"/>
      <c r="AY30" s="98"/>
      <c r="AZ30" s="98"/>
      <c r="BA30" s="105"/>
      <c r="BB30" s="106"/>
      <c r="BC30" s="97"/>
    </row>
    <row r="31" spans="1:55" ht="18" x14ac:dyDescent="0.25">
      <c r="A31" s="95"/>
      <c r="B31" s="95"/>
      <c r="C31" s="95"/>
      <c r="D31" s="95"/>
      <c r="E31" s="148" t="s">
        <v>96</v>
      </c>
      <c r="F31" s="139"/>
      <c r="G31" s="139"/>
      <c r="H31" s="140"/>
      <c r="I31" s="95"/>
      <c r="J31" s="95"/>
      <c r="K31" s="21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7"/>
      <c r="AI31" s="116"/>
      <c r="AJ31" s="116"/>
      <c r="AK31" s="116"/>
      <c r="AL31" s="116"/>
      <c r="AM31" s="115"/>
      <c r="AN31" s="117"/>
      <c r="AO31" s="121"/>
      <c r="AP31" s="116"/>
      <c r="AQ31" s="116"/>
      <c r="AR31" s="116"/>
      <c r="AS31" s="116"/>
      <c r="AT31" s="116"/>
      <c r="AU31" s="115"/>
      <c r="AV31" s="116"/>
      <c r="AW31" s="116"/>
      <c r="AX31" s="116"/>
      <c r="AY31" s="98"/>
      <c r="AZ31" s="98"/>
      <c r="BA31" s="105"/>
      <c r="BB31" s="106"/>
      <c r="BC31" s="97"/>
    </row>
    <row r="32" spans="1:55" ht="18" x14ac:dyDescent="0.25">
      <c r="A32" s="95"/>
      <c r="B32" s="95"/>
      <c r="C32" s="95"/>
      <c r="D32" s="95"/>
      <c r="E32" s="149" t="s">
        <v>97</v>
      </c>
      <c r="F32" s="92"/>
      <c r="G32" s="92"/>
      <c r="H32" s="141"/>
      <c r="I32" s="95"/>
      <c r="J32" s="95"/>
      <c r="K32" s="21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7"/>
      <c r="AI32" s="116"/>
      <c r="AJ32" s="116"/>
      <c r="AK32" s="116"/>
      <c r="AL32" s="116"/>
      <c r="AM32" s="115"/>
      <c r="AN32" s="117"/>
      <c r="AO32" s="121"/>
      <c r="AP32" s="116"/>
      <c r="AQ32" s="116"/>
      <c r="AR32" s="116"/>
      <c r="AS32" s="116"/>
      <c r="AT32" s="116"/>
      <c r="AU32" s="115"/>
      <c r="AV32" s="116"/>
      <c r="AW32" s="116"/>
      <c r="AX32" s="116"/>
      <c r="AY32" s="98"/>
      <c r="AZ32" s="98"/>
      <c r="BA32" s="105"/>
      <c r="BB32" s="106"/>
      <c r="BC32" s="97"/>
    </row>
    <row r="33" spans="1:56" ht="18" x14ac:dyDescent="0.25">
      <c r="A33" s="95"/>
      <c r="B33" s="95"/>
      <c r="C33" s="95"/>
      <c r="D33" s="95"/>
      <c r="E33" s="149" t="s">
        <v>99</v>
      </c>
      <c r="F33" s="92"/>
      <c r="G33" s="92"/>
      <c r="H33" s="141"/>
      <c r="I33" s="196"/>
      <c r="J33" s="196"/>
      <c r="K33" s="21"/>
      <c r="S33" s="116"/>
      <c r="T33" s="116"/>
      <c r="U33" s="122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7"/>
      <c r="AI33" s="116"/>
      <c r="AJ33" s="116"/>
      <c r="AK33" s="116"/>
      <c r="AL33" s="116"/>
      <c r="AM33" s="115"/>
      <c r="AN33" s="117"/>
      <c r="AO33" s="121"/>
      <c r="AP33" s="116"/>
      <c r="AQ33" s="116"/>
      <c r="AR33" s="116"/>
      <c r="AS33" s="116"/>
      <c r="AT33" s="116"/>
      <c r="AU33" s="115"/>
      <c r="AV33" s="117"/>
      <c r="AW33" s="123"/>
      <c r="AX33" s="124"/>
      <c r="AY33" s="106"/>
      <c r="AZ33" s="108"/>
      <c r="BA33" s="109"/>
      <c r="BB33" s="106"/>
      <c r="BC33" s="110"/>
      <c r="BD33" s="111"/>
    </row>
    <row r="34" spans="1:56" ht="18" x14ac:dyDescent="0.25">
      <c r="A34" s="95"/>
      <c r="B34" s="95"/>
      <c r="C34" s="95"/>
      <c r="D34" s="95"/>
      <c r="E34" s="149" t="s">
        <v>100</v>
      </c>
      <c r="F34" s="92"/>
      <c r="G34" s="92"/>
      <c r="H34" s="141"/>
      <c r="I34" s="95"/>
      <c r="J34" s="95"/>
      <c r="K34" s="21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5"/>
      <c r="AN34" s="116"/>
      <c r="AO34" s="116"/>
      <c r="AP34" s="116"/>
      <c r="AQ34" s="116"/>
      <c r="AR34" s="116"/>
      <c r="AS34" s="116"/>
      <c r="AT34" s="116"/>
      <c r="AU34" s="115"/>
      <c r="AV34" s="115"/>
      <c r="AW34" s="115"/>
      <c r="AX34" s="115"/>
    </row>
    <row r="35" spans="1:56" ht="18" x14ac:dyDescent="0.25">
      <c r="A35" s="95"/>
      <c r="B35" s="95"/>
      <c r="C35" s="95"/>
      <c r="D35" s="95"/>
      <c r="E35" s="149" t="s">
        <v>101</v>
      </c>
      <c r="F35" s="92"/>
      <c r="G35" s="92"/>
      <c r="H35" s="141"/>
      <c r="I35" s="95"/>
      <c r="J35" s="95"/>
      <c r="K35" s="21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7"/>
      <c r="AI35" s="116"/>
      <c r="AJ35" s="116"/>
      <c r="AK35" s="116"/>
      <c r="AL35" s="116"/>
      <c r="AM35" s="115"/>
      <c r="AN35" s="117"/>
      <c r="AO35" s="121"/>
      <c r="AP35" s="116"/>
      <c r="AQ35" s="116"/>
      <c r="AR35" s="116"/>
      <c r="AS35" s="116"/>
      <c r="AT35" s="116"/>
      <c r="AU35" s="115"/>
      <c r="AV35" s="115"/>
      <c r="AW35" s="115"/>
      <c r="AX35" s="115"/>
    </row>
    <row r="36" spans="1:56" ht="18" x14ac:dyDescent="0.25">
      <c r="A36" s="95"/>
      <c r="B36" s="95"/>
      <c r="C36" s="95"/>
      <c r="D36" s="95"/>
      <c r="E36" s="149" t="s">
        <v>102</v>
      </c>
      <c r="F36" s="92"/>
      <c r="G36" s="92"/>
      <c r="H36" s="141"/>
      <c r="I36" s="95"/>
      <c r="J36" s="95"/>
      <c r="K36" s="21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25"/>
      <c r="AK36" s="116"/>
      <c r="AL36" s="125"/>
      <c r="AM36" s="115"/>
      <c r="AN36" s="116"/>
      <c r="AO36" s="116"/>
      <c r="AP36" s="116"/>
      <c r="AQ36" s="116"/>
      <c r="AR36" s="116"/>
      <c r="AS36" s="116"/>
      <c r="AT36" s="116"/>
      <c r="AU36" s="115"/>
      <c r="AV36" s="115"/>
      <c r="AW36" s="115"/>
      <c r="AX36" s="115"/>
    </row>
    <row r="37" spans="1:56" ht="18" x14ac:dyDescent="0.25">
      <c r="A37" s="95"/>
      <c r="B37" s="95"/>
      <c r="C37" s="95"/>
      <c r="D37" s="95"/>
      <c r="E37" s="149" t="s">
        <v>103</v>
      </c>
      <c r="F37" s="92"/>
      <c r="G37" s="92"/>
      <c r="H37" s="141"/>
      <c r="I37" s="95"/>
      <c r="J37" s="95"/>
      <c r="K37" s="21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</row>
    <row r="38" spans="1:56" ht="18" x14ac:dyDescent="0.25">
      <c r="A38" s="95"/>
      <c r="B38" s="95"/>
      <c r="C38" s="95"/>
      <c r="D38" s="95"/>
      <c r="E38" s="149" t="s">
        <v>104</v>
      </c>
      <c r="F38" s="92"/>
      <c r="G38" s="92"/>
      <c r="H38" s="141"/>
      <c r="I38" s="95"/>
      <c r="J38" s="95"/>
      <c r="K38" s="21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</row>
    <row r="39" spans="1:56" ht="19" thickBot="1" x14ac:dyDescent="0.3">
      <c r="A39" s="95"/>
      <c r="B39" s="95"/>
      <c r="C39" s="95"/>
      <c r="D39" s="95"/>
      <c r="E39" s="150" t="s">
        <v>105</v>
      </c>
      <c r="F39" s="134"/>
      <c r="G39" s="134"/>
      <c r="H39" s="142"/>
      <c r="I39" s="95"/>
      <c r="J39" s="95"/>
      <c r="K39" s="21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</row>
    <row r="40" spans="1:56" ht="16" x14ac:dyDescent="0.2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21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</row>
    <row r="41" spans="1:56" x14ac:dyDescent="0.15"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</row>
    <row r="42" spans="1:56" x14ac:dyDescent="0.15"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</row>
    <row r="43" spans="1:56" x14ac:dyDescent="0.15"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</row>
    <row r="44" spans="1:56" x14ac:dyDescent="0.15"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</row>
    <row r="45" spans="1:56" x14ac:dyDescent="0.15"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</row>
    <row r="46" spans="1:56" x14ac:dyDescent="0.15"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</row>
    <row r="47" spans="1:56" x14ac:dyDescent="0.15"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</row>
    <row r="48" spans="1:56" x14ac:dyDescent="0.15"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</row>
    <row r="49" spans="19:50" x14ac:dyDescent="0.15"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</row>
    <row r="50" spans="19:50" x14ac:dyDescent="0.15"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</row>
    <row r="51" spans="19:50" x14ac:dyDescent="0.15"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</row>
    <row r="52" spans="19:50" x14ac:dyDescent="0.15"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</row>
    <row r="53" spans="19:50" x14ac:dyDescent="0.15"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</row>
    <row r="54" spans="19:50" x14ac:dyDescent="0.15"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</row>
    <row r="55" spans="19:50" x14ac:dyDescent="0.15"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</row>
    <row r="56" spans="19:50" x14ac:dyDescent="0.15"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</row>
    <row r="57" spans="19:50" x14ac:dyDescent="0.15"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</row>
    <row r="58" spans="19:50" x14ac:dyDescent="0.15"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</row>
    <row r="59" spans="19:50" x14ac:dyDescent="0.15"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</row>
    <row r="60" spans="19:50" x14ac:dyDescent="0.15"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</row>
    <row r="61" spans="19:50" x14ac:dyDescent="0.15"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</row>
    <row r="62" spans="19:50" x14ac:dyDescent="0.15"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</row>
    <row r="63" spans="19:50" x14ac:dyDescent="0.15"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</row>
    <row r="64" spans="19:50" x14ac:dyDescent="0.15"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</row>
    <row r="65" spans="19:50" x14ac:dyDescent="0.15"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</row>
    <row r="66" spans="19:50" x14ac:dyDescent="0.15"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</row>
    <row r="67" spans="19:50" x14ac:dyDescent="0.15"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</row>
    <row r="68" spans="19:50" x14ac:dyDescent="0.15"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</row>
    <row r="69" spans="19:50" x14ac:dyDescent="0.15"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</row>
    <row r="70" spans="19:50" x14ac:dyDescent="0.15"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</row>
    <row r="71" spans="19:50" x14ac:dyDescent="0.15"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</row>
    <row r="72" spans="19:50" x14ac:dyDescent="0.15"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</row>
    <row r="73" spans="19:50" x14ac:dyDescent="0.15"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</row>
    <row r="74" spans="19:50" x14ac:dyDescent="0.15"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</row>
    <row r="75" spans="19:50" x14ac:dyDescent="0.15"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</row>
    <row r="76" spans="19:50" x14ac:dyDescent="0.15"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</row>
    <row r="77" spans="19:50" x14ac:dyDescent="0.15"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</row>
    <row r="78" spans="19:50" x14ac:dyDescent="0.15"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</row>
    <row r="79" spans="19:50" x14ac:dyDescent="0.15"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</row>
    <row r="80" spans="19:50" x14ac:dyDescent="0.15"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</row>
    <row r="81" spans="19:50" x14ac:dyDescent="0.15"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</row>
    <row r="82" spans="19:50" x14ac:dyDescent="0.15"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</row>
    <row r="83" spans="19:50" x14ac:dyDescent="0.15"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</row>
    <row r="84" spans="19:50" x14ac:dyDescent="0.15"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</row>
    <row r="85" spans="19:50" x14ac:dyDescent="0.15"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</row>
    <row r="86" spans="19:50" x14ac:dyDescent="0.15"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</row>
    <row r="87" spans="19:50" x14ac:dyDescent="0.15"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</row>
    <row r="88" spans="19:50" x14ac:dyDescent="0.15"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</row>
    <row r="89" spans="19:50" x14ac:dyDescent="0.15"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</row>
    <row r="90" spans="19:50" x14ac:dyDescent="0.15"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</row>
    <row r="91" spans="19:50" x14ac:dyDescent="0.15"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</row>
    <row r="92" spans="19:50" x14ac:dyDescent="0.15"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</row>
    <row r="93" spans="19:50" x14ac:dyDescent="0.15"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</row>
    <row r="94" spans="19:50" x14ac:dyDescent="0.15"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</row>
    <row r="95" spans="19:50" x14ac:dyDescent="0.15"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</row>
    <row r="96" spans="19:50" x14ac:dyDescent="0.15"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</row>
    <row r="97" spans="19:50" x14ac:dyDescent="0.15"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</row>
    <row r="98" spans="19:50" x14ac:dyDescent="0.15"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</row>
    <row r="99" spans="19:50" x14ac:dyDescent="0.15"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</row>
    <row r="100" spans="19:50" x14ac:dyDescent="0.15"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</row>
    <row r="101" spans="19:50" x14ac:dyDescent="0.15"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</row>
    <row r="102" spans="19:50" x14ac:dyDescent="0.15"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</row>
    <row r="103" spans="19:50" x14ac:dyDescent="0.15"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</row>
    <row r="104" spans="19:50" x14ac:dyDescent="0.15"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</row>
    <row r="105" spans="19:50" x14ac:dyDescent="0.15"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</row>
    <row r="106" spans="19:50" x14ac:dyDescent="0.15"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</row>
    <row r="107" spans="19:50" x14ac:dyDescent="0.15"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</row>
    <row r="108" spans="19:50" x14ac:dyDescent="0.15"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</row>
    <row r="109" spans="19:50" x14ac:dyDescent="0.15"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</row>
    <row r="110" spans="19:50" x14ac:dyDescent="0.15"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</row>
    <row r="111" spans="19:50" x14ac:dyDescent="0.15"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</row>
    <row r="112" spans="19:50" x14ac:dyDescent="0.15"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</row>
    <row r="113" spans="19:50" x14ac:dyDescent="0.15"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</row>
    <row r="114" spans="19:50" x14ac:dyDescent="0.15"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</row>
    <row r="115" spans="19:50" x14ac:dyDescent="0.15"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</row>
    <row r="116" spans="19:50" x14ac:dyDescent="0.15"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</row>
    <row r="117" spans="19:50" x14ac:dyDescent="0.15"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</row>
    <row r="118" spans="19:50" x14ac:dyDescent="0.15"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</row>
    <row r="119" spans="19:50" x14ac:dyDescent="0.15"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</row>
    <row r="120" spans="19:50" x14ac:dyDescent="0.15"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</row>
    <row r="121" spans="19:50" x14ac:dyDescent="0.15"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</row>
    <row r="122" spans="19:50" x14ac:dyDescent="0.15"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</row>
    <row r="123" spans="19:50" x14ac:dyDescent="0.15"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</row>
    <row r="124" spans="19:50" x14ac:dyDescent="0.15"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</row>
    <row r="125" spans="19:50" x14ac:dyDescent="0.15"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</row>
    <row r="126" spans="19:50" x14ac:dyDescent="0.15"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</row>
    <row r="127" spans="19:50" x14ac:dyDescent="0.15"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</row>
    <row r="128" spans="19:50" x14ac:dyDescent="0.15"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</row>
    <row r="129" spans="19:50" x14ac:dyDescent="0.15"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</row>
    <row r="130" spans="19:50" x14ac:dyDescent="0.15"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</row>
    <row r="131" spans="19:50" x14ac:dyDescent="0.15"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</row>
    <row r="132" spans="19:50" x14ac:dyDescent="0.15"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</row>
    <row r="133" spans="19:50" x14ac:dyDescent="0.15"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</row>
  </sheetData>
  <sheetProtection algorithmName="SHA-512" hashValue="7GqFgKXKKOkGnNE3FthvMz3D3FH0C5fdt9BeqdywOmaNhYdzjwBjwGC5ictXw2jS+ezdWttX2JMhmlEJx7L+Lg==" saltValue="ePWn010HL4ClkoYsTVHq6Q==" spinCount="100000" sheet="1" objects="1" scenarios="1" selectLockedCells="1"/>
  <mergeCells count="3">
    <mergeCell ref="I29:J29"/>
    <mergeCell ref="I33:J33"/>
    <mergeCell ref="E28:H29"/>
  </mergeCells>
  <dataValidations count="3">
    <dataValidation type="list" allowBlank="1" showInputMessage="1" showErrorMessage="1" sqref="H38:H39" xr:uid="{00000000-0002-0000-0200-000000000000}">
      <formula1>$Y$7:$Y$10</formula1>
    </dataValidation>
    <dataValidation type="list" allowBlank="1" showInputMessage="1" showErrorMessage="1" sqref="H31:H37" xr:uid="{00000000-0002-0000-0200-000001000000}">
      <formula1>$Y$15:$Y$18</formula1>
    </dataValidation>
    <dataValidation type="list" allowBlank="1" showInputMessage="1" showErrorMessage="1" sqref="G31:G39" xr:uid="{00000000-0002-0000-0200-000002000000}">
      <formula1>$Z$6:$Z$10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33"/>
  <sheetViews>
    <sheetView topLeftCell="I1" workbookViewId="0">
      <selection activeCell="K35" sqref="K35 F35"/>
    </sheetView>
  </sheetViews>
  <sheetFormatPr baseColWidth="10" defaultColWidth="11.5" defaultRowHeight="13" x14ac:dyDescent="0.15"/>
  <cols>
    <col min="1" max="2" width="11.5" style="30"/>
    <col min="3" max="4" width="11.5" style="44"/>
    <col min="5" max="10" width="11.5" style="30"/>
    <col min="11" max="14" width="11.83203125" style="30" bestFit="1" customWidth="1"/>
    <col min="15" max="15" width="12.5" style="30" bestFit="1" customWidth="1"/>
    <col min="16" max="16" width="11.83203125" style="30" bestFit="1" customWidth="1"/>
  </cols>
  <sheetData>
    <row r="1" spans="1:24" x14ac:dyDescent="0.15">
      <c r="A1" s="30" t="s">
        <v>46</v>
      </c>
      <c r="C1" s="31" t="e">
        <f>MIN(C$4:C$304)</f>
        <v>#VALUE!</v>
      </c>
      <c r="D1" s="31" t="e">
        <f>MIN(D$4:D$304)</f>
        <v>#VALUE!</v>
      </c>
      <c r="E1" s="49" t="e">
        <f>MIN(E$4:E$304)</f>
        <v>#VALUE!</v>
      </c>
      <c r="F1" s="30" t="e">
        <f>MIN(F$4:F$304)</f>
        <v>#VALUE!</v>
      </c>
      <c r="G1" s="49" t="e">
        <f t="shared" ref="G1:P1" si="0">MIN(G$4:G$304)</f>
        <v>#VALUE!</v>
      </c>
      <c r="H1" s="30" t="e">
        <f>MIN(H$4:H$304)</f>
        <v>#VALUE!</v>
      </c>
      <c r="I1" s="30" t="e">
        <f t="shared" si="0"/>
        <v>#VALUE!</v>
      </c>
      <c r="J1" s="30" t="e">
        <f t="shared" si="0"/>
        <v>#VALUE!</v>
      </c>
      <c r="K1" s="33" t="e">
        <f t="shared" si="0"/>
        <v>#VALUE!</v>
      </c>
      <c r="L1" s="33" t="e">
        <f t="shared" si="0"/>
        <v>#VALUE!</v>
      </c>
      <c r="M1" s="33" t="e">
        <f t="shared" si="0"/>
        <v>#VALUE!</v>
      </c>
      <c r="N1" s="33" t="e">
        <f t="shared" si="0"/>
        <v>#VALUE!</v>
      </c>
      <c r="O1" s="33" t="e">
        <f t="shared" si="0"/>
        <v>#VALUE!</v>
      </c>
      <c r="P1" s="33" t="e">
        <f t="shared" si="0"/>
        <v>#VALUE!</v>
      </c>
    </row>
    <row r="2" spans="1:24" x14ac:dyDescent="0.15">
      <c r="A2" s="30" t="s">
        <v>45</v>
      </c>
      <c r="C2" s="31" t="e">
        <f>MAX(C$4:C$304)</f>
        <v>#VALUE!</v>
      </c>
      <c r="D2" s="31" t="e">
        <f>MAX(D$4:D$304)</f>
        <v>#VALUE!</v>
      </c>
      <c r="E2" s="49" t="e">
        <f>MAX(E$4:E$304)</f>
        <v>#VALUE!</v>
      </c>
      <c r="F2" s="30" t="e">
        <f>MAX(F$4:F$304)</f>
        <v>#VALUE!</v>
      </c>
      <c r="G2" s="49" t="e">
        <f t="shared" ref="G2:P2" si="1">MAX(G$4:G$304)</f>
        <v>#VALUE!</v>
      </c>
      <c r="H2" s="30" t="e">
        <f t="shared" si="1"/>
        <v>#VALUE!</v>
      </c>
      <c r="I2" s="30" t="e">
        <f t="shared" si="1"/>
        <v>#VALUE!</v>
      </c>
      <c r="J2" s="30" t="e">
        <f t="shared" si="1"/>
        <v>#VALUE!</v>
      </c>
      <c r="K2" s="33" t="e">
        <f t="shared" si="1"/>
        <v>#VALUE!</v>
      </c>
      <c r="L2" s="33" t="e">
        <f t="shared" si="1"/>
        <v>#VALUE!</v>
      </c>
      <c r="M2" s="33" t="e">
        <f t="shared" si="1"/>
        <v>#VALUE!</v>
      </c>
      <c r="N2" s="33" t="e">
        <f t="shared" si="1"/>
        <v>#VALUE!</v>
      </c>
      <c r="O2" s="33" t="e">
        <f t="shared" si="1"/>
        <v>#VALUE!</v>
      </c>
      <c r="P2" s="33" t="e">
        <f t="shared" si="1"/>
        <v>#VALUE!</v>
      </c>
    </row>
    <row r="3" spans="1:24" ht="14" thickBot="1" x14ac:dyDescent="0.2">
      <c r="A3" s="32"/>
      <c r="B3" s="32"/>
      <c r="C3" s="43" t="s">
        <v>47</v>
      </c>
      <c r="D3" s="43" t="s">
        <v>48</v>
      </c>
      <c r="E3" s="62" t="s">
        <v>36</v>
      </c>
      <c r="F3" s="32" t="s">
        <v>30</v>
      </c>
      <c r="G3" s="62" t="s">
        <v>31</v>
      </c>
      <c r="H3" s="32" t="s">
        <v>37</v>
      </c>
      <c r="I3" s="32" t="s">
        <v>35</v>
      </c>
      <c r="J3" s="32" t="s">
        <v>32</v>
      </c>
      <c r="K3" s="32" t="s">
        <v>33</v>
      </c>
      <c r="L3" s="32" t="s">
        <v>34</v>
      </c>
      <c r="M3" s="32" t="s">
        <v>39</v>
      </c>
      <c r="N3" s="32" t="s">
        <v>40</v>
      </c>
      <c r="O3" s="32" t="s">
        <v>41</v>
      </c>
      <c r="P3" s="32" t="s">
        <v>42</v>
      </c>
    </row>
    <row r="4" spans="1:24" ht="15" thickTop="1" thickBot="1" x14ac:dyDescent="0.2">
      <c r="A4" s="30">
        <v>11417488</v>
      </c>
      <c r="C4" s="42" t="e">
        <f>E4/F4</f>
        <v>#VALUE!</v>
      </c>
      <c r="D4" s="42" t="e">
        <f>G4/F4</f>
        <v>#VALUE!</v>
      </c>
      <c r="E4" s="49" t="e">
        <f>ROUND(F4*StudentInput(A4,$T$6,$U$6,$V$6,$W$6,$X$6),1)</f>
        <v>#VALUE!</v>
      </c>
      <c r="F4" s="30" t="e">
        <f t="shared" ref="F4:F67" si="2">StudentInput(A4,$T$9,$U$9,$V$9,$W$9,$X$9)</f>
        <v>#VALUE!</v>
      </c>
      <c r="G4" s="49" t="e">
        <f>ROUND(F4*StudentInput($A4,$T$7,$U$7,$V$7,$W$7,$X$7),1)</f>
        <v>#VALUE!</v>
      </c>
      <c r="H4" s="31" t="e">
        <f t="shared" ref="H4:H67" si="3">StudentInput(A4,$T$11,$U$11,$V$11,$W$11,$X$11)</f>
        <v>#VALUE!</v>
      </c>
      <c r="I4" s="30" t="e">
        <f t="shared" ref="I4:I67" si="4">StudentInput(A4,$T$12,$U$12,$V$12,$W$12,$X$12)</f>
        <v>#VALUE!</v>
      </c>
      <c r="J4" s="30" t="e">
        <f t="shared" ref="J4:J67" si="5">StudentInput(A4,$T$13,$U$13,$V$13,$W$13,$X$13)</f>
        <v>#VALUE!</v>
      </c>
      <c r="K4" s="33" t="e">
        <f>(0.5*I4*G4^2-J4*H4)/(E4+F4)</f>
        <v>#VALUE!</v>
      </c>
      <c r="L4" s="33" t="e">
        <f t="shared" ref="L4:L67" si="6">(I4*G4*(F4+0.5*G4)+PP*(F4+G4+H4))/(F4+G4)</f>
        <v>#VALUE!</v>
      </c>
      <c r="M4" s="33" t="e">
        <f>K4*F4/SQRT(F4^2+E4^2)</f>
        <v>#VALUE!</v>
      </c>
      <c r="N4" s="33" t="e">
        <f>K4*F4</f>
        <v>#VALUE!</v>
      </c>
      <c r="O4" s="33" t="e">
        <f>K4*F4+0.5*K4*K4/I4</f>
        <v>#VALUE!</v>
      </c>
      <c r="P4" s="33" t="e">
        <f>K4/I4</f>
        <v>#VALUE!</v>
      </c>
      <c r="Q4" t="e">
        <f>(P4&lt;F4)</f>
        <v>#VALUE!</v>
      </c>
      <c r="R4" s="204" t="s">
        <v>43</v>
      </c>
      <c r="S4" s="205"/>
      <c r="T4" s="205"/>
      <c r="U4" s="205"/>
      <c r="V4" s="205"/>
      <c r="W4" s="205"/>
      <c r="X4" s="206"/>
    </row>
    <row r="5" spans="1:24" ht="17" thickBot="1" x14ac:dyDescent="0.25">
      <c r="A5" s="30">
        <v>11983879</v>
      </c>
      <c r="C5" s="42" t="e">
        <f t="shared" ref="C5:C68" si="7">E5/F5</f>
        <v>#VALUE!</v>
      </c>
      <c r="D5" s="42" t="e">
        <f t="shared" ref="D5:D68" si="8">G5/F5</f>
        <v>#VALUE!</v>
      </c>
      <c r="E5" s="49" t="e">
        <f t="shared" ref="E5:E68" si="9">ROUND(F5*StudentInput(A5,$T$6,$U$6,$V$6,$W$6,$X$6),1)</f>
        <v>#VALUE!</v>
      </c>
      <c r="F5" s="30" t="e">
        <f t="shared" si="2"/>
        <v>#VALUE!</v>
      </c>
      <c r="G5" s="49" t="e">
        <f t="shared" ref="G5:G68" si="10">ROUND(F5*StudentInput($A5,$T$7,$U$7,$V$7,$W$7,$X$7),1)</f>
        <v>#VALUE!</v>
      </c>
      <c r="H5" s="31" t="e">
        <f t="shared" si="3"/>
        <v>#VALUE!</v>
      </c>
      <c r="I5" s="30" t="e">
        <f t="shared" si="4"/>
        <v>#VALUE!</v>
      </c>
      <c r="J5" s="30" t="e">
        <f t="shared" si="5"/>
        <v>#VALUE!</v>
      </c>
      <c r="K5" s="33" t="e">
        <f t="shared" ref="K5:K68" si="11">(0.5*I5*G5^2-J5*H5)/(E5+F5)</f>
        <v>#VALUE!</v>
      </c>
      <c r="L5" s="33" t="e">
        <f t="shared" si="6"/>
        <v>#VALUE!</v>
      </c>
      <c r="M5" s="33" t="e">
        <f t="shared" ref="M5:M68" si="12">K5*F5/SQRT(F5^2+E5^2)</f>
        <v>#VALUE!</v>
      </c>
      <c r="N5" s="33" t="e">
        <f t="shared" ref="N5:N68" si="13">K5*F5</f>
        <v>#VALUE!</v>
      </c>
      <c r="O5" s="33" t="e">
        <f t="shared" ref="O5:O68" si="14">K5*F5+0.5*K5*K5/I5</f>
        <v>#VALUE!</v>
      </c>
      <c r="P5" s="33" t="e">
        <f t="shared" ref="P5:P68" si="15">K5/I5</f>
        <v>#VALUE!</v>
      </c>
      <c r="Q5" t="e">
        <f t="shared" ref="Q5:Q68" si="16">(P5&lt;F5)</f>
        <v>#VALUE!</v>
      </c>
      <c r="R5" s="52"/>
      <c r="S5" s="53"/>
      <c r="T5" s="54" t="s">
        <v>27</v>
      </c>
      <c r="U5" s="54" t="s">
        <v>24</v>
      </c>
      <c r="V5" s="54" t="s">
        <v>25</v>
      </c>
      <c r="W5" s="54" t="s">
        <v>28</v>
      </c>
      <c r="X5" s="55" t="s">
        <v>26</v>
      </c>
    </row>
    <row r="6" spans="1:24" ht="17" thickTop="1" x14ac:dyDescent="0.2">
      <c r="A6" s="30">
        <v>11542331</v>
      </c>
      <c r="C6" s="42" t="e">
        <f t="shared" si="7"/>
        <v>#VALUE!</v>
      </c>
      <c r="D6" s="42" t="e">
        <f t="shared" si="8"/>
        <v>#VALUE!</v>
      </c>
      <c r="E6" s="49" t="e">
        <f t="shared" si="9"/>
        <v>#VALUE!</v>
      </c>
      <c r="F6" s="30" t="e">
        <f t="shared" si="2"/>
        <v>#VALUE!</v>
      </c>
      <c r="G6" s="49" t="e">
        <f t="shared" si="10"/>
        <v>#VALUE!</v>
      </c>
      <c r="H6" s="31" t="e">
        <f t="shared" si="3"/>
        <v>#VALUE!</v>
      </c>
      <c r="I6" s="30" t="e">
        <f t="shared" si="4"/>
        <v>#VALUE!</v>
      </c>
      <c r="J6" s="30" t="e">
        <f t="shared" si="5"/>
        <v>#VALUE!</v>
      </c>
      <c r="K6" s="33" t="e">
        <f t="shared" si="11"/>
        <v>#VALUE!</v>
      </c>
      <c r="L6" s="33" t="e">
        <f t="shared" si="6"/>
        <v>#VALUE!</v>
      </c>
      <c r="M6" s="33" t="e">
        <f t="shared" si="12"/>
        <v>#VALUE!</v>
      </c>
      <c r="N6" s="33" t="e">
        <f t="shared" si="13"/>
        <v>#VALUE!</v>
      </c>
      <c r="O6" s="33" t="e">
        <f t="shared" si="14"/>
        <v>#VALUE!</v>
      </c>
      <c r="P6" s="33" t="e">
        <f t="shared" si="15"/>
        <v>#VALUE!</v>
      </c>
      <c r="Q6" t="e">
        <f t="shared" si="16"/>
        <v>#VALUE!</v>
      </c>
      <c r="R6" s="45" t="str">
        <f>'eTask 4.2'!AB6</f>
        <v>m</v>
      </c>
      <c r="S6" s="46">
        <f>'eTask 4.2'!AC6</f>
        <v>6.8</v>
      </c>
      <c r="T6" s="46">
        <f>'eTask 4.2'!AD6</f>
        <v>2</v>
      </c>
      <c r="U6" s="47">
        <f>'eTask 4.2'!AE6</f>
        <v>6.8</v>
      </c>
      <c r="V6" s="47">
        <f>'eTask 4.2'!AF6</f>
        <v>6.4</v>
      </c>
      <c r="W6" s="46">
        <f>'eTask 4.2'!AG6</f>
        <v>0</v>
      </c>
      <c r="X6" s="48" t="str">
        <f>'eTask 4.2'!AH6</f>
        <v>a</v>
      </c>
    </row>
    <row r="7" spans="1:24" ht="17" thickBot="1" x14ac:dyDescent="0.25">
      <c r="A7" s="30">
        <v>11218258</v>
      </c>
      <c r="C7" s="42" t="e">
        <f t="shared" si="7"/>
        <v>#VALUE!</v>
      </c>
      <c r="D7" s="42" t="e">
        <f t="shared" si="8"/>
        <v>#VALUE!</v>
      </c>
      <c r="E7" s="49" t="e">
        <f t="shared" si="9"/>
        <v>#VALUE!</v>
      </c>
      <c r="F7" s="30" t="e">
        <f t="shared" si="2"/>
        <v>#VALUE!</v>
      </c>
      <c r="G7" s="49" t="e">
        <f t="shared" si="10"/>
        <v>#VALUE!</v>
      </c>
      <c r="H7" s="31" t="e">
        <f t="shared" si="3"/>
        <v>#VALUE!</v>
      </c>
      <c r="I7" s="30" t="e">
        <f t="shared" si="4"/>
        <v>#VALUE!</v>
      </c>
      <c r="J7" s="30" t="e">
        <f t="shared" si="5"/>
        <v>#VALUE!</v>
      </c>
      <c r="K7" s="33" t="e">
        <f t="shared" si="11"/>
        <v>#VALUE!</v>
      </c>
      <c r="L7" s="33" t="e">
        <f t="shared" si="6"/>
        <v>#VALUE!</v>
      </c>
      <c r="M7" s="33" t="e">
        <f t="shared" si="12"/>
        <v>#VALUE!</v>
      </c>
      <c r="N7" s="33" t="e">
        <f t="shared" si="13"/>
        <v>#VALUE!</v>
      </c>
      <c r="O7" s="33" t="e">
        <f t="shared" si="14"/>
        <v>#VALUE!</v>
      </c>
      <c r="P7" s="33" t="e">
        <f t="shared" si="15"/>
        <v>#VALUE!</v>
      </c>
      <c r="Q7" t="e">
        <f t="shared" si="16"/>
        <v>#VALUE!</v>
      </c>
      <c r="R7" s="56" t="str">
        <f>'eTask 4.2'!AB7</f>
        <v>m</v>
      </c>
      <c r="S7" s="57">
        <f>'eTask 4.2'!AC7</f>
        <v>2.8</v>
      </c>
      <c r="T7" s="57">
        <f>'eTask 4.2'!AD7</f>
        <v>3</v>
      </c>
      <c r="U7" s="61">
        <f>'eTask 4.2'!AE7</f>
        <v>2.8</v>
      </c>
      <c r="V7" s="61">
        <f>'eTask 4.2'!AF7</f>
        <v>3.4</v>
      </c>
      <c r="W7" s="57">
        <f>'eTask 4.2'!AG7</f>
        <v>0</v>
      </c>
      <c r="X7" s="58" t="str">
        <f>'eTask 4.2'!AH7</f>
        <v>b</v>
      </c>
    </row>
    <row r="8" spans="1:24" ht="16" x14ac:dyDescent="0.2">
      <c r="A8" s="30">
        <v>12194015</v>
      </c>
      <c r="C8" s="42" t="e">
        <f t="shared" si="7"/>
        <v>#VALUE!</v>
      </c>
      <c r="D8" s="42" t="e">
        <f t="shared" si="8"/>
        <v>#VALUE!</v>
      </c>
      <c r="E8" s="49" t="e">
        <f t="shared" si="9"/>
        <v>#VALUE!</v>
      </c>
      <c r="F8" s="30" t="e">
        <f t="shared" si="2"/>
        <v>#VALUE!</v>
      </c>
      <c r="G8" s="49" t="e">
        <f t="shared" si="10"/>
        <v>#VALUE!</v>
      </c>
      <c r="H8" s="31" t="e">
        <f t="shared" si="3"/>
        <v>#VALUE!</v>
      </c>
      <c r="I8" s="30" t="e">
        <f t="shared" si="4"/>
        <v>#VALUE!</v>
      </c>
      <c r="J8" s="30" t="e">
        <f t="shared" si="5"/>
        <v>#VALUE!</v>
      </c>
      <c r="K8" s="33" t="e">
        <f t="shared" si="11"/>
        <v>#VALUE!</v>
      </c>
      <c r="L8" s="33" t="e">
        <f t="shared" si="6"/>
        <v>#VALUE!</v>
      </c>
      <c r="M8" s="33" t="e">
        <f t="shared" si="12"/>
        <v>#VALUE!</v>
      </c>
      <c r="N8" s="33" t="e">
        <f t="shared" si="13"/>
        <v>#VALUE!</v>
      </c>
      <c r="O8" s="33" t="e">
        <f t="shared" si="14"/>
        <v>#VALUE!</v>
      </c>
      <c r="P8" s="33" t="e">
        <f t="shared" si="15"/>
        <v>#VALUE!</v>
      </c>
      <c r="Q8" t="e">
        <f t="shared" si="16"/>
        <v>#VALUE!</v>
      </c>
      <c r="R8" s="59" t="str">
        <f>'eTask 4.2'!AB8</f>
        <v>m</v>
      </c>
      <c r="S8" s="35">
        <f>'eTask 4.2'!AC8</f>
        <v>5.6</v>
      </c>
      <c r="T8" s="35">
        <f>'eTask 4.2'!AD8</f>
        <v>4</v>
      </c>
      <c r="U8" s="35">
        <f>'eTask 4.2'!AE8</f>
        <v>5.6</v>
      </c>
      <c r="V8" s="35">
        <f>'eTask 4.2'!AF8</f>
        <v>5.4</v>
      </c>
      <c r="W8" s="35">
        <f>'eTask 4.2'!AG8</f>
        <v>0</v>
      </c>
      <c r="X8" s="60" t="str">
        <f>'eTask 4.2'!AH8</f>
        <v>c</v>
      </c>
    </row>
    <row r="9" spans="1:24" ht="16" x14ac:dyDescent="0.2">
      <c r="A9" s="30">
        <v>12465516</v>
      </c>
      <c r="C9" s="42" t="e">
        <f t="shared" si="7"/>
        <v>#VALUE!</v>
      </c>
      <c r="D9" s="42" t="e">
        <f t="shared" si="8"/>
        <v>#VALUE!</v>
      </c>
      <c r="E9" s="49" t="e">
        <f t="shared" si="9"/>
        <v>#VALUE!</v>
      </c>
      <c r="F9" s="30" t="e">
        <f t="shared" si="2"/>
        <v>#VALUE!</v>
      </c>
      <c r="G9" s="49" t="e">
        <f t="shared" si="10"/>
        <v>#VALUE!</v>
      </c>
      <c r="H9" s="31" t="e">
        <f t="shared" si="3"/>
        <v>#VALUE!</v>
      </c>
      <c r="I9" s="30" t="e">
        <f t="shared" si="4"/>
        <v>#VALUE!</v>
      </c>
      <c r="J9" s="30" t="e">
        <f t="shared" si="5"/>
        <v>#VALUE!</v>
      </c>
      <c r="K9" s="33" t="e">
        <f t="shared" si="11"/>
        <v>#VALUE!</v>
      </c>
      <c r="L9" s="33" t="e">
        <f t="shared" si="6"/>
        <v>#VALUE!</v>
      </c>
      <c r="M9" s="33" t="e">
        <f t="shared" si="12"/>
        <v>#VALUE!</v>
      </c>
      <c r="N9" s="33" t="e">
        <f t="shared" si="13"/>
        <v>#VALUE!</v>
      </c>
      <c r="O9" s="33" t="e">
        <f t="shared" si="14"/>
        <v>#VALUE!</v>
      </c>
      <c r="P9" s="33" t="e">
        <f t="shared" si="15"/>
        <v>#VALUE!</v>
      </c>
      <c r="Q9" t="e">
        <f t="shared" si="16"/>
        <v>#VALUE!</v>
      </c>
      <c r="R9" s="40" t="str">
        <f>'eTask 4.2'!AB9</f>
        <v>m</v>
      </c>
      <c r="S9" s="34">
        <f>'eTask 4.2'!AC9</f>
        <v>4</v>
      </c>
      <c r="T9" s="34">
        <f>'eTask 4.2'!AD9</f>
        <v>5</v>
      </c>
      <c r="U9" s="35">
        <f>'eTask 4.2'!AE9</f>
        <v>4</v>
      </c>
      <c r="V9" s="35">
        <f>'eTask 4.2'!AF9</f>
        <v>4.4000000000000004</v>
      </c>
      <c r="W9" s="34">
        <f>'eTask 4.2'!AG9</f>
        <v>0</v>
      </c>
      <c r="X9" s="36" t="str">
        <f>'eTask 4.2'!AH9</f>
        <v>d</v>
      </c>
    </row>
    <row r="10" spans="1:24" ht="16" x14ac:dyDescent="0.2">
      <c r="A10" s="30">
        <v>11680257</v>
      </c>
      <c r="C10" s="42" t="e">
        <f t="shared" si="7"/>
        <v>#VALUE!</v>
      </c>
      <c r="D10" s="42" t="e">
        <f t="shared" si="8"/>
        <v>#VALUE!</v>
      </c>
      <c r="E10" s="49" t="e">
        <f t="shared" si="9"/>
        <v>#VALUE!</v>
      </c>
      <c r="F10" s="30" t="e">
        <f t="shared" si="2"/>
        <v>#VALUE!</v>
      </c>
      <c r="G10" s="49" t="e">
        <f t="shared" si="10"/>
        <v>#VALUE!</v>
      </c>
      <c r="H10" s="31" t="e">
        <f t="shared" si="3"/>
        <v>#VALUE!</v>
      </c>
      <c r="I10" s="30" t="e">
        <f t="shared" si="4"/>
        <v>#VALUE!</v>
      </c>
      <c r="J10" s="30" t="e">
        <f t="shared" si="5"/>
        <v>#VALUE!</v>
      </c>
      <c r="K10" s="33" t="e">
        <f t="shared" si="11"/>
        <v>#VALUE!</v>
      </c>
      <c r="L10" s="33" t="e">
        <f t="shared" si="6"/>
        <v>#VALUE!</v>
      </c>
      <c r="M10" s="33" t="e">
        <f t="shared" si="12"/>
        <v>#VALUE!</v>
      </c>
      <c r="N10" s="33" t="e">
        <f t="shared" si="13"/>
        <v>#VALUE!</v>
      </c>
      <c r="O10" s="33" t="e">
        <f t="shared" si="14"/>
        <v>#VALUE!</v>
      </c>
      <c r="P10" s="33" t="e">
        <f t="shared" si="15"/>
        <v>#VALUE!</v>
      </c>
      <c r="Q10" t="e">
        <f t="shared" si="16"/>
        <v>#VALUE!</v>
      </c>
      <c r="R10" s="59" t="str">
        <f>'eTask 4.2'!AB10</f>
        <v>kN</v>
      </c>
      <c r="S10" s="35">
        <f>'eTask 4.2'!AC10</f>
        <v>290</v>
      </c>
      <c r="T10" s="35">
        <f>'eTask 4.2'!AD10</f>
        <v>4</v>
      </c>
      <c r="U10" s="35">
        <f>'eTask 4.2'!AE10</f>
        <v>290</v>
      </c>
      <c r="V10" s="35">
        <f>'eTask 4.2'!AF10</f>
        <v>256</v>
      </c>
      <c r="W10" s="35">
        <f>'eTask 4.2'!AG10</f>
        <v>0</v>
      </c>
      <c r="X10" s="60" t="str">
        <f>'eTask 4.2'!AH10</f>
        <v>F</v>
      </c>
    </row>
    <row r="11" spans="1:24" ht="16" x14ac:dyDescent="0.2">
      <c r="A11" s="30">
        <v>99127666</v>
      </c>
      <c r="C11" s="42" t="e">
        <f t="shared" si="7"/>
        <v>#VALUE!</v>
      </c>
      <c r="D11" s="42" t="e">
        <f t="shared" si="8"/>
        <v>#VALUE!</v>
      </c>
      <c r="E11" s="49" t="e">
        <f t="shared" si="9"/>
        <v>#VALUE!</v>
      </c>
      <c r="F11" s="30" t="e">
        <f t="shared" si="2"/>
        <v>#VALUE!</v>
      </c>
      <c r="G11" s="49" t="e">
        <f t="shared" si="10"/>
        <v>#VALUE!</v>
      </c>
      <c r="H11" s="31" t="e">
        <f t="shared" si="3"/>
        <v>#VALUE!</v>
      </c>
      <c r="I11" s="30" t="e">
        <f t="shared" si="4"/>
        <v>#VALUE!</v>
      </c>
      <c r="J11" s="30" t="e">
        <f t="shared" si="5"/>
        <v>#VALUE!</v>
      </c>
      <c r="K11" s="33" t="e">
        <f t="shared" si="11"/>
        <v>#VALUE!</v>
      </c>
      <c r="L11" s="33" t="e">
        <f t="shared" si="6"/>
        <v>#VALUE!</v>
      </c>
      <c r="M11" s="33" t="e">
        <f t="shared" si="12"/>
        <v>#VALUE!</v>
      </c>
      <c r="N11" s="33" t="e">
        <f t="shared" si="13"/>
        <v>#VALUE!</v>
      </c>
      <c r="O11" s="33" t="e">
        <f t="shared" si="14"/>
        <v>#VALUE!</v>
      </c>
      <c r="P11" s="33" t="e">
        <f t="shared" si="15"/>
        <v>#VALUE!</v>
      </c>
      <c r="Q11" t="e">
        <f t="shared" si="16"/>
        <v>#VALUE!</v>
      </c>
      <c r="R11" s="40" t="str">
        <f>'eTask 4.2'!AB11</f>
        <v>kN/m</v>
      </c>
      <c r="S11" s="34">
        <f>'eTask 4.2'!AC11</f>
        <v>14</v>
      </c>
      <c r="T11" s="34">
        <f>'eTask 4.2'!AD11</f>
        <v>3</v>
      </c>
      <c r="U11" s="63">
        <f>'eTask 4.2'!AE11</f>
        <v>14</v>
      </c>
      <c r="V11" s="63">
        <f>'eTask 4.2'!AF11</f>
        <v>22</v>
      </c>
      <c r="W11" s="34">
        <f>'eTask 4.2'!AG11</f>
        <v>0</v>
      </c>
      <c r="X11" s="36" t="str">
        <f>'eTask 4.2'!AH11</f>
        <v>w</v>
      </c>
    </row>
    <row r="12" spans="1:24" ht="16" x14ac:dyDescent="0.2">
      <c r="A12" s="30">
        <v>11554502</v>
      </c>
      <c r="C12" s="42" t="e">
        <f t="shared" si="7"/>
        <v>#VALUE!</v>
      </c>
      <c r="D12" s="42" t="e">
        <f t="shared" si="8"/>
        <v>#VALUE!</v>
      </c>
      <c r="E12" s="49" t="e">
        <f t="shared" si="9"/>
        <v>#VALUE!</v>
      </c>
      <c r="F12" s="30" t="e">
        <f t="shared" si="2"/>
        <v>#VALUE!</v>
      </c>
      <c r="G12" s="49" t="e">
        <f t="shared" si="10"/>
        <v>#VALUE!</v>
      </c>
      <c r="H12" s="31" t="e">
        <f t="shared" si="3"/>
        <v>#VALUE!</v>
      </c>
      <c r="I12" s="30" t="e">
        <f t="shared" si="4"/>
        <v>#VALUE!</v>
      </c>
      <c r="J12" s="30" t="e">
        <f t="shared" si="5"/>
        <v>#VALUE!</v>
      </c>
      <c r="K12" s="33" t="e">
        <f t="shared" si="11"/>
        <v>#VALUE!</v>
      </c>
      <c r="L12" s="33" t="e">
        <f t="shared" si="6"/>
        <v>#VALUE!</v>
      </c>
      <c r="M12" s="33" t="e">
        <f t="shared" si="12"/>
        <v>#VALUE!</v>
      </c>
      <c r="N12" s="33" t="e">
        <f t="shared" si="13"/>
        <v>#VALUE!</v>
      </c>
      <c r="O12" s="33" t="e">
        <f t="shared" si="14"/>
        <v>#VALUE!</v>
      </c>
      <c r="P12" s="33" t="e">
        <f t="shared" si="15"/>
        <v>#VALUE!</v>
      </c>
      <c r="Q12" t="e">
        <f t="shared" si="16"/>
        <v>#VALUE!</v>
      </c>
      <c r="R12" s="40" t="str">
        <f>'eTask 4.2'!AB12</f>
        <v>kNm2</v>
      </c>
      <c r="S12" s="34">
        <f>'eTask 4.2'!AC12</f>
        <v>280</v>
      </c>
      <c r="T12" s="34">
        <f>'eTask 4.2'!AD12</f>
        <v>2</v>
      </c>
      <c r="U12" s="35">
        <f>'eTask 4.2'!AE12</f>
        <v>280</v>
      </c>
      <c r="V12" s="35">
        <f>'eTask 4.2'!AF12</f>
        <v>240</v>
      </c>
      <c r="W12" s="34">
        <f>'eTask 4.2'!AG12</f>
        <v>0</v>
      </c>
      <c r="X12" s="36" t="str">
        <f>'eTask 4.2'!AH12</f>
        <v>EI</v>
      </c>
    </row>
    <row r="13" spans="1:24" ht="17" thickBot="1" x14ac:dyDescent="0.25">
      <c r="A13" s="30">
        <v>11730975</v>
      </c>
      <c r="C13" s="42" t="e">
        <f t="shared" si="7"/>
        <v>#VALUE!</v>
      </c>
      <c r="D13" s="42" t="e">
        <f t="shared" si="8"/>
        <v>#VALUE!</v>
      </c>
      <c r="E13" s="49" t="e">
        <f t="shared" si="9"/>
        <v>#VALUE!</v>
      </c>
      <c r="F13" s="30" t="e">
        <f t="shared" si="2"/>
        <v>#VALUE!</v>
      </c>
      <c r="G13" s="49" t="e">
        <f t="shared" si="10"/>
        <v>#VALUE!</v>
      </c>
      <c r="H13" s="31" t="e">
        <f t="shared" si="3"/>
        <v>#VALUE!</v>
      </c>
      <c r="I13" s="30" t="e">
        <f t="shared" si="4"/>
        <v>#VALUE!</v>
      </c>
      <c r="J13" s="30" t="e">
        <f t="shared" si="5"/>
        <v>#VALUE!</v>
      </c>
      <c r="K13" s="33" t="e">
        <f t="shared" si="11"/>
        <v>#VALUE!</v>
      </c>
      <c r="L13" s="33" t="e">
        <f t="shared" si="6"/>
        <v>#VALUE!</v>
      </c>
      <c r="M13" s="33" t="e">
        <f t="shared" si="12"/>
        <v>#VALUE!</v>
      </c>
      <c r="N13" s="33" t="e">
        <f t="shared" si="13"/>
        <v>#VALUE!</v>
      </c>
      <c r="O13" s="33" t="e">
        <f t="shared" si="14"/>
        <v>#VALUE!</v>
      </c>
      <c r="P13" s="33" t="e">
        <f t="shared" si="15"/>
        <v>#VALUE!</v>
      </c>
      <c r="Q13" t="e">
        <f t="shared" si="16"/>
        <v>#VALUE!</v>
      </c>
      <c r="R13" s="41" t="str">
        <f>'eTask 4.2'!AB13</f>
        <v>kN</v>
      </c>
      <c r="S13" s="37" t="str">
        <f>'eTask 4.2'!AC13</f>
        <v>∞</v>
      </c>
      <c r="T13" s="37">
        <f>'eTask 4.2'!AD13</f>
        <v>1</v>
      </c>
      <c r="U13" s="38" t="str">
        <f>'eTask 4.2'!AE13</f>
        <v>∞</v>
      </c>
      <c r="V13" s="38" t="str">
        <f>'eTask 4.2'!AF13</f>
        <v>∞</v>
      </c>
      <c r="W13" s="37">
        <f>'eTask 4.2'!AG13</f>
        <v>0</v>
      </c>
      <c r="X13" s="39" t="str">
        <f>'eTask 4.2'!AH13</f>
        <v>EA</v>
      </c>
    </row>
    <row r="14" spans="1:24" x14ac:dyDescent="0.15">
      <c r="A14" s="30">
        <v>99201814</v>
      </c>
      <c r="C14" s="42" t="e">
        <f t="shared" si="7"/>
        <v>#VALUE!</v>
      </c>
      <c r="D14" s="42" t="e">
        <f t="shared" si="8"/>
        <v>#VALUE!</v>
      </c>
      <c r="E14" s="49" t="e">
        <f t="shared" si="9"/>
        <v>#VALUE!</v>
      </c>
      <c r="F14" s="30" t="e">
        <f t="shared" si="2"/>
        <v>#VALUE!</v>
      </c>
      <c r="G14" s="49" t="e">
        <f t="shared" si="10"/>
        <v>#VALUE!</v>
      </c>
      <c r="H14" s="30" t="e">
        <f t="shared" si="3"/>
        <v>#VALUE!</v>
      </c>
      <c r="I14" s="30" t="e">
        <f t="shared" si="4"/>
        <v>#VALUE!</v>
      </c>
      <c r="J14" s="30" t="e">
        <f t="shared" si="5"/>
        <v>#VALUE!</v>
      </c>
      <c r="K14" s="33" t="e">
        <f t="shared" si="11"/>
        <v>#VALUE!</v>
      </c>
      <c r="L14" s="33" t="e">
        <f t="shared" si="6"/>
        <v>#VALUE!</v>
      </c>
      <c r="M14" s="33" t="e">
        <f t="shared" si="12"/>
        <v>#VALUE!</v>
      </c>
      <c r="N14" s="33" t="e">
        <f t="shared" si="13"/>
        <v>#VALUE!</v>
      </c>
      <c r="O14" s="33" t="e">
        <f t="shared" si="14"/>
        <v>#VALUE!</v>
      </c>
      <c r="P14" s="33" t="e">
        <f t="shared" si="15"/>
        <v>#VALUE!</v>
      </c>
      <c r="Q14" t="e">
        <f t="shared" si="16"/>
        <v>#VALUE!</v>
      </c>
    </row>
    <row r="15" spans="1:24" x14ac:dyDescent="0.15">
      <c r="A15" s="30">
        <v>12692695</v>
      </c>
      <c r="C15" s="42" t="e">
        <f t="shared" si="7"/>
        <v>#VALUE!</v>
      </c>
      <c r="D15" s="42" t="e">
        <f t="shared" si="8"/>
        <v>#VALUE!</v>
      </c>
      <c r="E15" s="49" t="e">
        <f t="shared" si="9"/>
        <v>#VALUE!</v>
      </c>
      <c r="F15" s="30" t="e">
        <f t="shared" si="2"/>
        <v>#VALUE!</v>
      </c>
      <c r="G15" s="49" t="e">
        <f t="shared" si="10"/>
        <v>#VALUE!</v>
      </c>
      <c r="H15" s="30" t="e">
        <f t="shared" si="3"/>
        <v>#VALUE!</v>
      </c>
      <c r="I15" s="30" t="e">
        <f t="shared" si="4"/>
        <v>#VALUE!</v>
      </c>
      <c r="J15" s="30" t="e">
        <f t="shared" si="5"/>
        <v>#VALUE!</v>
      </c>
      <c r="K15" s="33" t="e">
        <f t="shared" si="11"/>
        <v>#VALUE!</v>
      </c>
      <c r="L15" s="33" t="e">
        <f t="shared" si="6"/>
        <v>#VALUE!</v>
      </c>
      <c r="M15" s="33" t="e">
        <f t="shared" si="12"/>
        <v>#VALUE!</v>
      </c>
      <c r="N15" s="33" t="e">
        <f t="shared" si="13"/>
        <v>#VALUE!</v>
      </c>
      <c r="O15" s="33" t="e">
        <f t="shared" si="14"/>
        <v>#VALUE!</v>
      </c>
      <c r="P15" s="33" t="e">
        <f t="shared" si="15"/>
        <v>#VALUE!</v>
      </c>
      <c r="Q15" t="e">
        <f t="shared" si="16"/>
        <v>#VALUE!</v>
      </c>
    </row>
    <row r="16" spans="1:24" x14ac:dyDescent="0.15">
      <c r="A16" s="30">
        <v>12143741</v>
      </c>
      <c r="C16" s="42" t="e">
        <f t="shared" si="7"/>
        <v>#VALUE!</v>
      </c>
      <c r="D16" s="42" t="e">
        <f t="shared" si="8"/>
        <v>#VALUE!</v>
      </c>
      <c r="E16" s="49" t="e">
        <f t="shared" si="9"/>
        <v>#VALUE!</v>
      </c>
      <c r="F16" s="30" t="e">
        <f t="shared" si="2"/>
        <v>#VALUE!</v>
      </c>
      <c r="G16" s="49" t="e">
        <f t="shared" si="10"/>
        <v>#VALUE!</v>
      </c>
      <c r="H16" s="30" t="e">
        <f t="shared" si="3"/>
        <v>#VALUE!</v>
      </c>
      <c r="I16" s="30" t="e">
        <f t="shared" si="4"/>
        <v>#VALUE!</v>
      </c>
      <c r="J16" s="30" t="e">
        <f t="shared" si="5"/>
        <v>#VALUE!</v>
      </c>
      <c r="K16" s="33" t="e">
        <f t="shared" si="11"/>
        <v>#VALUE!</v>
      </c>
      <c r="L16" s="33" t="e">
        <f t="shared" si="6"/>
        <v>#VALUE!</v>
      </c>
      <c r="M16" s="33" t="e">
        <f t="shared" si="12"/>
        <v>#VALUE!</v>
      </c>
      <c r="N16" s="33" t="e">
        <f t="shared" si="13"/>
        <v>#VALUE!</v>
      </c>
      <c r="O16" s="33" t="e">
        <f t="shared" si="14"/>
        <v>#VALUE!</v>
      </c>
      <c r="P16" s="33" t="e">
        <f t="shared" si="15"/>
        <v>#VALUE!</v>
      </c>
      <c r="Q16" t="e">
        <f t="shared" si="16"/>
        <v>#VALUE!</v>
      </c>
    </row>
    <row r="17" spans="1:17" x14ac:dyDescent="0.15">
      <c r="A17" s="30">
        <v>12595854</v>
      </c>
      <c r="C17" s="42" t="e">
        <f t="shared" si="7"/>
        <v>#VALUE!</v>
      </c>
      <c r="D17" s="42" t="e">
        <f t="shared" si="8"/>
        <v>#VALUE!</v>
      </c>
      <c r="E17" s="49" t="e">
        <f t="shared" si="9"/>
        <v>#VALUE!</v>
      </c>
      <c r="F17" s="30" t="e">
        <f t="shared" si="2"/>
        <v>#VALUE!</v>
      </c>
      <c r="G17" s="49" t="e">
        <f t="shared" si="10"/>
        <v>#VALUE!</v>
      </c>
      <c r="H17" s="30" t="e">
        <f t="shared" si="3"/>
        <v>#VALUE!</v>
      </c>
      <c r="I17" s="30" t="e">
        <f t="shared" si="4"/>
        <v>#VALUE!</v>
      </c>
      <c r="J17" s="30" t="e">
        <f t="shared" si="5"/>
        <v>#VALUE!</v>
      </c>
      <c r="K17" s="33" t="e">
        <f t="shared" si="11"/>
        <v>#VALUE!</v>
      </c>
      <c r="L17" s="33" t="e">
        <f t="shared" si="6"/>
        <v>#VALUE!</v>
      </c>
      <c r="M17" s="33" t="e">
        <f t="shared" si="12"/>
        <v>#VALUE!</v>
      </c>
      <c r="N17" s="33" t="e">
        <f t="shared" si="13"/>
        <v>#VALUE!</v>
      </c>
      <c r="O17" s="33" t="e">
        <f t="shared" si="14"/>
        <v>#VALUE!</v>
      </c>
      <c r="P17" s="33" t="e">
        <f t="shared" si="15"/>
        <v>#VALUE!</v>
      </c>
      <c r="Q17" t="e">
        <f t="shared" si="16"/>
        <v>#VALUE!</v>
      </c>
    </row>
    <row r="18" spans="1:17" x14ac:dyDescent="0.15">
      <c r="A18" s="30">
        <v>12589634</v>
      </c>
      <c r="C18" s="42" t="e">
        <f t="shared" si="7"/>
        <v>#VALUE!</v>
      </c>
      <c r="D18" s="42" t="e">
        <f t="shared" si="8"/>
        <v>#VALUE!</v>
      </c>
      <c r="E18" s="49" t="e">
        <f t="shared" si="9"/>
        <v>#VALUE!</v>
      </c>
      <c r="F18" s="30" t="e">
        <f t="shared" si="2"/>
        <v>#VALUE!</v>
      </c>
      <c r="G18" s="49" t="e">
        <f t="shared" si="10"/>
        <v>#VALUE!</v>
      </c>
      <c r="H18" s="30" t="e">
        <f t="shared" si="3"/>
        <v>#VALUE!</v>
      </c>
      <c r="I18" s="30" t="e">
        <f t="shared" si="4"/>
        <v>#VALUE!</v>
      </c>
      <c r="J18" s="30" t="e">
        <f t="shared" si="5"/>
        <v>#VALUE!</v>
      </c>
      <c r="K18" s="33" t="e">
        <f t="shared" si="11"/>
        <v>#VALUE!</v>
      </c>
      <c r="L18" s="33" t="e">
        <f t="shared" si="6"/>
        <v>#VALUE!</v>
      </c>
      <c r="M18" s="33" t="e">
        <f t="shared" si="12"/>
        <v>#VALUE!</v>
      </c>
      <c r="N18" s="33" t="e">
        <f t="shared" si="13"/>
        <v>#VALUE!</v>
      </c>
      <c r="O18" s="33" t="e">
        <f t="shared" si="14"/>
        <v>#VALUE!</v>
      </c>
      <c r="P18" s="33" t="e">
        <f t="shared" si="15"/>
        <v>#VALUE!</v>
      </c>
      <c r="Q18" t="e">
        <f t="shared" si="16"/>
        <v>#VALUE!</v>
      </c>
    </row>
    <row r="19" spans="1:17" x14ac:dyDescent="0.15">
      <c r="A19" s="30">
        <v>99205445</v>
      </c>
      <c r="C19" s="42" t="e">
        <f t="shared" si="7"/>
        <v>#VALUE!</v>
      </c>
      <c r="D19" s="42" t="e">
        <f t="shared" si="8"/>
        <v>#VALUE!</v>
      </c>
      <c r="E19" s="49" t="e">
        <f t="shared" si="9"/>
        <v>#VALUE!</v>
      </c>
      <c r="F19" s="30" t="e">
        <f t="shared" si="2"/>
        <v>#VALUE!</v>
      </c>
      <c r="G19" s="49" t="e">
        <f t="shared" si="10"/>
        <v>#VALUE!</v>
      </c>
      <c r="H19" s="30" t="e">
        <f t="shared" si="3"/>
        <v>#VALUE!</v>
      </c>
      <c r="I19" s="30" t="e">
        <f t="shared" si="4"/>
        <v>#VALUE!</v>
      </c>
      <c r="J19" s="30" t="e">
        <f t="shared" si="5"/>
        <v>#VALUE!</v>
      </c>
      <c r="K19" s="33" t="e">
        <f t="shared" si="11"/>
        <v>#VALUE!</v>
      </c>
      <c r="L19" s="33" t="e">
        <f t="shared" si="6"/>
        <v>#VALUE!</v>
      </c>
      <c r="M19" s="33" t="e">
        <f t="shared" si="12"/>
        <v>#VALUE!</v>
      </c>
      <c r="N19" s="33" t="e">
        <f t="shared" si="13"/>
        <v>#VALUE!</v>
      </c>
      <c r="O19" s="33" t="e">
        <f t="shared" si="14"/>
        <v>#VALUE!</v>
      </c>
      <c r="P19" s="33" t="e">
        <f t="shared" si="15"/>
        <v>#VALUE!</v>
      </c>
      <c r="Q19" t="e">
        <f t="shared" si="16"/>
        <v>#VALUE!</v>
      </c>
    </row>
    <row r="20" spans="1:17" x14ac:dyDescent="0.15">
      <c r="A20" s="30">
        <v>11904846</v>
      </c>
      <c r="C20" s="42" t="e">
        <f t="shared" si="7"/>
        <v>#VALUE!</v>
      </c>
      <c r="D20" s="42" t="e">
        <f t="shared" si="8"/>
        <v>#VALUE!</v>
      </c>
      <c r="E20" s="49" t="e">
        <f t="shared" si="9"/>
        <v>#VALUE!</v>
      </c>
      <c r="F20" s="30" t="e">
        <f t="shared" si="2"/>
        <v>#VALUE!</v>
      </c>
      <c r="G20" s="49" t="e">
        <f t="shared" si="10"/>
        <v>#VALUE!</v>
      </c>
      <c r="H20" s="30" t="e">
        <f t="shared" si="3"/>
        <v>#VALUE!</v>
      </c>
      <c r="I20" s="30" t="e">
        <f t="shared" si="4"/>
        <v>#VALUE!</v>
      </c>
      <c r="J20" s="30" t="e">
        <f t="shared" si="5"/>
        <v>#VALUE!</v>
      </c>
      <c r="K20" s="33" t="e">
        <f t="shared" si="11"/>
        <v>#VALUE!</v>
      </c>
      <c r="L20" s="33" t="e">
        <f t="shared" si="6"/>
        <v>#VALUE!</v>
      </c>
      <c r="M20" s="33" t="e">
        <f t="shared" si="12"/>
        <v>#VALUE!</v>
      </c>
      <c r="N20" s="33" t="e">
        <f t="shared" si="13"/>
        <v>#VALUE!</v>
      </c>
      <c r="O20" s="33" t="e">
        <f t="shared" si="14"/>
        <v>#VALUE!</v>
      </c>
      <c r="P20" s="33" t="e">
        <f t="shared" si="15"/>
        <v>#VALUE!</v>
      </c>
      <c r="Q20" t="e">
        <f t="shared" si="16"/>
        <v>#VALUE!</v>
      </c>
    </row>
    <row r="21" spans="1:17" x14ac:dyDescent="0.15">
      <c r="A21" s="30">
        <v>11931413</v>
      </c>
      <c r="C21" s="42" t="e">
        <f t="shared" si="7"/>
        <v>#VALUE!</v>
      </c>
      <c r="D21" s="42" t="e">
        <f t="shared" si="8"/>
        <v>#VALUE!</v>
      </c>
      <c r="E21" s="49" t="e">
        <f t="shared" si="9"/>
        <v>#VALUE!</v>
      </c>
      <c r="F21" s="30" t="e">
        <f t="shared" si="2"/>
        <v>#VALUE!</v>
      </c>
      <c r="G21" s="49" t="e">
        <f t="shared" si="10"/>
        <v>#VALUE!</v>
      </c>
      <c r="H21" s="30" t="e">
        <f t="shared" si="3"/>
        <v>#VALUE!</v>
      </c>
      <c r="I21" s="30" t="e">
        <f t="shared" si="4"/>
        <v>#VALUE!</v>
      </c>
      <c r="J21" s="30" t="e">
        <f t="shared" si="5"/>
        <v>#VALUE!</v>
      </c>
      <c r="K21" s="33" t="e">
        <f t="shared" si="11"/>
        <v>#VALUE!</v>
      </c>
      <c r="L21" s="33" t="e">
        <f t="shared" si="6"/>
        <v>#VALUE!</v>
      </c>
      <c r="M21" s="33" t="e">
        <f t="shared" si="12"/>
        <v>#VALUE!</v>
      </c>
      <c r="N21" s="33" t="e">
        <f t="shared" si="13"/>
        <v>#VALUE!</v>
      </c>
      <c r="O21" s="33" t="e">
        <f t="shared" si="14"/>
        <v>#VALUE!</v>
      </c>
      <c r="P21" s="33" t="e">
        <f t="shared" si="15"/>
        <v>#VALUE!</v>
      </c>
      <c r="Q21" t="e">
        <f t="shared" si="16"/>
        <v>#VALUE!</v>
      </c>
    </row>
    <row r="22" spans="1:17" x14ac:dyDescent="0.15">
      <c r="A22" s="30">
        <v>11655634</v>
      </c>
      <c r="C22" s="42" t="e">
        <f t="shared" si="7"/>
        <v>#VALUE!</v>
      </c>
      <c r="D22" s="42" t="e">
        <f t="shared" si="8"/>
        <v>#VALUE!</v>
      </c>
      <c r="E22" s="49" t="e">
        <f t="shared" si="9"/>
        <v>#VALUE!</v>
      </c>
      <c r="F22" s="30" t="e">
        <f t="shared" si="2"/>
        <v>#VALUE!</v>
      </c>
      <c r="G22" s="49" t="e">
        <f t="shared" si="10"/>
        <v>#VALUE!</v>
      </c>
      <c r="H22" s="30" t="e">
        <f t="shared" si="3"/>
        <v>#VALUE!</v>
      </c>
      <c r="I22" s="30" t="e">
        <f t="shared" si="4"/>
        <v>#VALUE!</v>
      </c>
      <c r="J22" s="30" t="e">
        <f t="shared" si="5"/>
        <v>#VALUE!</v>
      </c>
      <c r="K22" s="33" t="e">
        <f t="shared" si="11"/>
        <v>#VALUE!</v>
      </c>
      <c r="L22" s="33" t="e">
        <f t="shared" si="6"/>
        <v>#VALUE!</v>
      </c>
      <c r="M22" s="33" t="e">
        <f t="shared" si="12"/>
        <v>#VALUE!</v>
      </c>
      <c r="N22" s="33" t="e">
        <f t="shared" si="13"/>
        <v>#VALUE!</v>
      </c>
      <c r="O22" s="33" t="e">
        <f t="shared" si="14"/>
        <v>#VALUE!</v>
      </c>
      <c r="P22" s="33" t="e">
        <f t="shared" si="15"/>
        <v>#VALUE!</v>
      </c>
      <c r="Q22" t="e">
        <f t="shared" si="16"/>
        <v>#VALUE!</v>
      </c>
    </row>
    <row r="23" spans="1:17" x14ac:dyDescent="0.15">
      <c r="A23" s="30">
        <v>12474211</v>
      </c>
      <c r="C23" s="42" t="e">
        <f t="shared" si="7"/>
        <v>#VALUE!</v>
      </c>
      <c r="D23" s="42" t="e">
        <f t="shared" si="8"/>
        <v>#VALUE!</v>
      </c>
      <c r="E23" s="49" t="e">
        <f t="shared" si="9"/>
        <v>#VALUE!</v>
      </c>
      <c r="F23" s="30" t="e">
        <f t="shared" si="2"/>
        <v>#VALUE!</v>
      </c>
      <c r="G23" s="49" t="e">
        <f t="shared" si="10"/>
        <v>#VALUE!</v>
      </c>
      <c r="H23" s="30" t="e">
        <f t="shared" si="3"/>
        <v>#VALUE!</v>
      </c>
      <c r="I23" s="30" t="e">
        <f t="shared" si="4"/>
        <v>#VALUE!</v>
      </c>
      <c r="J23" s="30" t="e">
        <f t="shared" si="5"/>
        <v>#VALUE!</v>
      </c>
      <c r="K23" s="33" t="e">
        <f t="shared" si="11"/>
        <v>#VALUE!</v>
      </c>
      <c r="L23" s="33" t="e">
        <f t="shared" si="6"/>
        <v>#VALUE!</v>
      </c>
      <c r="M23" s="33" t="e">
        <f t="shared" si="12"/>
        <v>#VALUE!</v>
      </c>
      <c r="N23" s="33" t="e">
        <f t="shared" si="13"/>
        <v>#VALUE!</v>
      </c>
      <c r="O23" s="33" t="e">
        <f t="shared" si="14"/>
        <v>#VALUE!</v>
      </c>
      <c r="P23" s="33" t="e">
        <f t="shared" si="15"/>
        <v>#VALUE!</v>
      </c>
      <c r="Q23" t="e">
        <f t="shared" si="16"/>
        <v>#VALUE!</v>
      </c>
    </row>
    <row r="24" spans="1:17" x14ac:dyDescent="0.15">
      <c r="A24" s="30">
        <v>12597466</v>
      </c>
      <c r="C24" s="42" t="e">
        <f t="shared" si="7"/>
        <v>#VALUE!</v>
      </c>
      <c r="D24" s="42" t="e">
        <f t="shared" si="8"/>
        <v>#VALUE!</v>
      </c>
      <c r="E24" s="49" t="e">
        <f t="shared" si="9"/>
        <v>#VALUE!</v>
      </c>
      <c r="F24" s="30" t="e">
        <f t="shared" si="2"/>
        <v>#VALUE!</v>
      </c>
      <c r="G24" s="49" t="e">
        <f t="shared" si="10"/>
        <v>#VALUE!</v>
      </c>
      <c r="H24" s="30" t="e">
        <f t="shared" si="3"/>
        <v>#VALUE!</v>
      </c>
      <c r="I24" s="30" t="e">
        <f t="shared" si="4"/>
        <v>#VALUE!</v>
      </c>
      <c r="J24" s="30" t="e">
        <f t="shared" si="5"/>
        <v>#VALUE!</v>
      </c>
      <c r="K24" s="33" t="e">
        <f t="shared" si="11"/>
        <v>#VALUE!</v>
      </c>
      <c r="L24" s="33" t="e">
        <f t="shared" si="6"/>
        <v>#VALUE!</v>
      </c>
      <c r="M24" s="33" t="e">
        <f t="shared" si="12"/>
        <v>#VALUE!</v>
      </c>
      <c r="N24" s="33" t="e">
        <f t="shared" si="13"/>
        <v>#VALUE!</v>
      </c>
      <c r="O24" s="33" t="e">
        <f t="shared" si="14"/>
        <v>#VALUE!</v>
      </c>
      <c r="P24" s="33" t="e">
        <f t="shared" si="15"/>
        <v>#VALUE!</v>
      </c>
      <c r="Q24" t="e">
        <f t="shared" si="16"/>
        <v>#VALUE!</v>
      </c>
    </row>
    <row r="25" spans="1:17" x14ac:dyDescent="0.15">
      <c r="A25" s="30">
        <v>97116622</v>
      </c>
      <c r="C25" s="42" t="e">
        <f t="shared" si="7"/>
        <v>#VALUE!</v>
      </c>
      <c r="D25" s="42" t="e">
        <f t="shared" si="8"/>
        <v>#VALUE!</v>
      </c>
      <c r="E25" s="49" t="e">
        <f t="shared" si="9"/>
        <v>#VALUE!</v>
      </c>
      <c r="F25" s="30" t="e">
        <f t="shared" si="2"/>
        <v>#VALUE!</v>
      </c>
      <c r="G25" s="49" t="e">
        <f t="shared" si="10"/>
        <v>#VALUE!</v>
      </c>
      <c r="H25" s="30" t="e">
        <f t="shared" si="3"/>
        <v>#VALUE!</v>
      </c>
      <c r="I25" s="30" t="e">
        <f t="shared" si="4"/>
        <v>#VALUE!</v>
      </c>
      <c r="J25" s="30" t="e">
        <f t="shared" si="5"/>
        <v>#VALUE!</v>
      </c>
      <c r="K25" s="33" t="e">
        <f t="shared" si="11"/>
        <v>#VALUE!</v>
      </c>
      <c r="L25" s="33" t="e">
        <f t="shared" si="6"/>
        <v>#VALUE!</v>
      </c>
      <c r="M25" s="33" t="e">
        <f t="shared" si="12"/>
        <v>#VALUE!</v>
      </c>
      <c r="N25" s="33" t="e">
        <f t="shared" si="13"/>
        <v>#VALUE!</v>
      </c>
      <c r="O25" s="33" t="e">
        <f t="shared" si="14"/>
        <v>#VALUE!</v>
      </c>
      <c r="P25" s="33" t="e">
        <f t="shared" si="15"/>
        <v>#VALUE!</v>
      </c>
      <c r="Q25" t="e">
        <f t="shared" si="16"/>
        <v>#VALUE!</v>
      </c>
    </row>
    <row r="26" spans="1:17" x14ac:dyDescent="0.15">
      <c r="A26" s="30">
        <v>97114312</v>
      </c>
      <c r="C26" s="42" t="e">
        <f t="shared" si="7"/>
        <v>#VALUE!</v>
      </c>
      <c r="D26" s="42" t="e">
        <f t="shared" si="8"/>
        <v>#VALUE!</v>
      </c>
      <c r="E26" s="49" t="e">
        <f t="shared" si="9"/>
        <v>#VALUE!</v>
      </c>
      <c r="F26" s="30" t="e">
        <f t="shared" si="2"/>
        <v>#VALUE!</v>
      </c>
      <c r="G26" s="49" t="e">
        <f t="shared" si="10"/>
        <v>#VALUE!</v>
      </c>
      <c r="H26" s="30" t="e">
        <f t="shared" si="3"/>
        <v>#VALUE!</v>
      </c>
      <c r="I26" s="30" t="e">
        <f t="shared" si="4"/>
        <v>#VALUE!</v>
      </c>
      <c r="J26" s="30" t="e">
        <f t="shared" si="5"/>
        <v>#VALUE!</v>
      </c>
      <c r="K26" s="33" t="e">
        <f t="shared" si="11"/>
        <v>#VALUE!</v>
      </c>
      <c r="L26" s="33" t="e">
        <f t="shared" si="6"/>
        <v>#VALUE!</v>
      </c>
      <c r="M26" s="33" t="e">
        <f t="shared" si="12"/>
        <v>#VALUE!</v>
      </c>
      <c r="N26" s="33" t="e">
        <f t="shared" si="13"/>
        <v>#VALUE!</v>
      </c>
      <c r="O26" s="33" t="e">
        <f t="shared" si="14"/>
        <v>#VALUE!</v>
      </c>
      <c r="P26" s="33" t="e">
        <f t="shared" si="15"/>
        <v>#VALUE!</v>
      </c>
      <c r="Q26" t="e">
        <f t="shared" si="16"/>
        <v>#VALUE!</v>
      </c>
    </row>
    <row r="27" spans="1:17" x14ac:dyDescent="0.15">
      <c r="A27" s="30">
        <v>12604765</v>
      </c>
      <c r="C27" s="42" t="e">
        <f t="shared" si="7"/>
        <v>#VALUE!</v>
      </c>
      <c r="D27" s="42" t="e">
        <f t="shared" si="8"/>
        <v>#VALUE!</v>
      </c>
      <c r="E27" s="49" t="e">
        <f t="shared" si="9"/>
        <v>#VALUE!</v>
      </c>
      <c r="F27" s="30" t="e">
        <f t="shared" si="2"/>
        <v>#VALUE!</v>
      </c>
      <c r="G27" s="49" t="e">
        <f t="shared" si="10"/>
        <v>#VALUE!</v>
      </c>
      <c r="H27" s="30" t="e">
        <f t="shared" si="3"/>
        <v>#VALUE!</v>
      </c>
      <c r="I27" s="30" t="e">
        <f t="shared" si="4"/>
        <v>#VALUE!</v>
      </c>
      <c r="J27" s="30" t="e">
        <f t="shared" si="5"/>
        <v>#VALUE!</v>
      </c>
      <c r="K27" s="33" t="e">
        <f t="shared" si="11"/>
        <v>#VALUE!</v>
      </c>
      <c r="L27" s="33" t="e">
        <f t="shared" si="6"/>
        <v>#VALUE!</v>
      </c>
      <c r="M27" s="33" t="e">
        <f t="shared" si="12"/>
        <v>#VALUE!</v>
      </c>
      <c r="N27" s="33" t="e">
        <f t="shared" si="13"/>
        <v>#VALUE!</v>
      </c>
      <c r="O27" s="33" t="e">
        <f t="shared" si="14"/>
        <v>#VALUE!</v>
      </c>
      <c r="P27" s="33" t="e">
        <f t="shared" si="15"/>
        <v>#VALUE!</v>
      </c>
      <c r="Q27" t="e">
        <f t="shared" si="16"/>
        <v>#VALUE!</v>
      </c>
    </row>
    <row r="28" spans="1:17" x14ac:dyDescent="0.15">
      <c r="A28" s="30">
        <v>11656004</v>
      </c>
      <c r="C28" s="42" t="e">
        <f t="shared" si="7"/>
        <v>#VALUE!</v>
      </c>
      <c r="D28" s="42" t="e">
        <f t="shared" si="8"/>
        <v>#VALUE!</v>
      </c>
      <c r="E28" s="49" t="e">
        <f t="shared" si="9"/>
        <v>#VALUE!</v>
      </c>
      <c r="F28" s="30" t="e">
        <f t="shared" si="2"/>
        <v>#VALUE!</v>
      </c>
      <c r="G28" s="49" t="e">
        <f t="shared" si="10"/>
        <v>#VALUE!</v>
      </c>
      <c r="H28" s="30" t="e">
        <f t="shared" si="3"/>
        <v>#VALUE!</v>
      </c>
      <c r="I28" s="30" t="e">
        <f t="shared" si="4"/>
        <v>#VALUE!</v>
      </c>
      <c r="J28" s="30" t="e">
        <f t="shared" si="5"/>
        <v>#VALUE!</v>
      </c>
      <c r="K28" s="33" t="e">
        <f t="shared" si="11"/>
        <v>#VALUE!</v>
      </c>
      <c r="L28" s="33" t="e">
        <f t="shared" si="6"/>
        <v>#VALUE!</v>
      </c>
      <c r="M28" s="33" t="e">
        <f t="shared" si="12"/>
        <v>#VALUE!</v>
      </c>
      <c r="N28" s="33" t="e">
        <f t="shared" si="13"/>
        <v>#VALUE!</v>
      </c>
      <c r="O28" s="33" t="e">
        <f t="shared" si="14"/>
        <v>#VALUE!</v>
      </c>
      <c r="P28" s="33" t="e">
        <f t="shared" si="15"/>
        <v>#VALUE!</v>
      </c>
      <c r="Q28" t="e">
        <f t="shared" si="16"/>
        <v>#VALUE!</v>
      </c>
    </row>
    <row r="29" spans="1:17" x14ac:dyDescent="0.15">
      <c r="A29" s="30">
        <v>11709627</v>
      </c>
      <c r="C29" s="42" t="e">
        <f t="shared" si="7"/>
        <v>#VALUE!</v>
      </c>
      <c r="D29" s="42" t="e">
        <f t="shared" si="8"/>
        <v>#VALUE!</v>
      </c>
      <c r="E29" s="49" t="e">
        <f t="shared" si="9"/>
        <v>#VALUE!</v>
      </c>
      <c r="F29" s="30" t="e">
        <f t="shared" si="2"/>
        <v>#VALUE!</v>
      </c>
      <c r="G29" s="49" t="e">
        <f t="shared" si="10"/>
        <v>#VALUE!</v>
      </c>
      <c r="H29" s="30" t="e">
        <f t="shared" si="3"/>
        <v>#VALUE!</v>
      </c>
      <c r="I29" s="30" t="e">
        <f t="shared" si="4"/>
        <v>#VALUE!</v>
      </c>
      <c r="J29" s="30" t="e">
        <f t="shared" si="5"/>
        <v>#VALUE!</v>
      </c>
      <c r="K29" s="33" t="e">
        <f t="shared" si="11"/>
        <v>#VALUE!</v>
      </c>
      <c r="L29" s="33" t="e">
        <f t="shared" si="6"/>
        <v>#VALUE!</v>
      </c>
      <c r="M29" s="33" t="e">
        <f t="shared" si="12"/>
        <v>#VALUE!</v>
      </c>
      <c r="N29" s="33" t="e">
        <f t="shared" si="13"/>
        <v>#VALUE!</v>
      </c>
      <c r="O29" s="33" t="e">
        <f t="shared" si="14"/>
        <v>#VALUE!</v>
      </c>
      <c r="P29" s="33" t="e">
        <f t="shared" si="15"/>
        <v>#VALUE!</v>
      </c>
      <c r="Q29" t="e">
        <f t="shared" si="16"/>
        <v>#VALUE!</v>
      </c>
    </row>
    <row r="30" spans="1:17" x14ac:dyDescent="0.15">
      <c r="A30" s="30">
        <v>11925791</v>
      </c>
      <c r="C30" s="42" t="e">
        <f t="shared" si="7"/>
        <v>#VALUE!</v>
      </c>
      <c r="D30" s="42" t="e">
        <f t="shared" si="8"/>
        <v>#VALUE!</v>
      </c>
      <c r="E30" s="49" t="e">
        <f t="shared" si="9"/>
        <v>#VALUE!</v>
      </c>
      <c r="F30" s="30" t="e">
        <f t="shared" si="2"/>
        <v>#VALUE!</v>
      </c>
      <c r="G30" s="49" t="e">
        <f t="shared" si="10"/>
        <v>#VALUE!</v>
      </c>
      <c r="H30" s="30" t="e">
        <f t="shared" si="3"/>
        <v>#VALUE!</v>
      </c>
      <c r="I30" s="30" t="e">
        <f t="shared" si="4"/>
        <v>#VALUE!</v>
      </c>
      <c r="J30" s="30" t="e">
        <f t="shared" si="5"/>
        <v>#VALUE!</v>
      </c>
      <c r="K30" s="33" t="e">
        <f t="shared" si="11"/>
        <v>#VALUE!</v>
      </c>
      <c r="L30" s="33" t="e">
        <f t="shared" si="6"/>
        <v>#VALUE!</v>
      </c>
      <c r="M30" s="33" t="e">
        <f t="shared" si="12"/>
        <v>#VALUE!</v>
      </c>
      <c r="N30" s="33" t="e">
        <f t="shared" si="13"/>
        <v>#VALUE!</v>
      </c>
      <c r="O30" s="33" t="e">
        <f t="shared" si="14"/>
        <v>#VALUE!</v>
      </c>
      <c r="P30" s="33" t="e">
        <f t="shared" si="15"/>
        <v>#VALUE!</v>
      </c>
      <c r="Q30" t="e">
        <f t="shared" si="16"/>
        <v>#VALUE!</v>
      </c>
    </row>
    <row r="31" spans="1:17" x14ac:dyDescent="0.15">
      <c r="A31" s="30">
        <v>12145330</v>
      </c>
      <c r="C31" s="42" t="e">
        <f t="shared" si="7"/>
        <v>#VALUE!</v>
      </c>
      <c r="D31" s="42" t="e">
        <f t="shared" si="8"/>
        <v>#VALUE!</v>
      </c>
      <c r="E31" s="49" t="e">
        <f t="shared" si="9"/>
        <v>#VALUE!</v>
      </c>
      <c r="F31" s="30" t="e">
        <f t="shared" si="2"/>
        <v>#VALUE!</v>
      </c>
      <c r="G31" s="49" t="e">
        <f t="shared" si="10"/>
        <v>#VALUE!</v>
      </c>
      <c r="H31" s="30" t="e">
        <f t="shared" si="3"/>
        <v>#VALUE!</v>
      </c>
      <c r="I31" s="30" t="e">
        <f t="shared" si="4"/>
        <v>#VALUE!</v>
      </c>
      <c r="J31" s="30" t="e">
        <f t="shared" si="5"/>
        <v>#VALUE!</v>
      </c>
      <c r="K31" s="33" t="e">
        <f t="shared" si="11"/>
        <v>#VALUE!</v>
      </c>
      <c r="L31" s="33" t="e">
        <f t="shared" si="6"/>
        <v>#VALUE!</v>
      </c>
      <c r="M31" s="33" t="e">
        <f t="shared" si="12"/>
        <v>#VALUE!</v>
      </c>
      <c r="N31" s="33" t="e">
        <f t="shared" si="13"/>
        <v>#VALUE!</v>
      </c>
      <c r="O31" s="33" t="e">
        <f t="shared" si="14"/>
        <v>#VALUE!</v>
      </c>
      <c r="P31" s="33" t="e">
        <f t="shared" si="15"/>
        <v>#VALUE!</v>
      </c>
      <c r="Q31" t="e">
        <f t="shared" si="16"/>
        <v>#VALUE!</v>
      </c>
    </row>
    <row r="32" spans="1:17" x14ac:dyDescent="0.15">
      <c r="A32" s="30">
        <v>97116608</v>
      </c>
      <c r="C32" s="42" t="e">
        <f t="shared" si="7"/>
        <v>#VALUE!</v>
      </c>
      <c r="D32" s="42" t="e">
        <f t="shared" si="8"/>
        <v>#VALUE!</v>
      </c>
      <c r="E32" s="49" t="e">
        <f t="shared" si="9"/>
        <v>#VALUE!</v>
      </c>
      <c r="F32" s="30" t="e">
        <f t="shared" si="2"/>
        <v>#VALUE!</v>
      </c>
      <c r="G32" s="49" t="e">
        <f t="shared" si="10"/>
        <v>#VALUE!</v>
      </c>
      <c r="H32" s="30" t="e">
        <f t="shared" si="3"/>
        <v>#VALUE!</v>
      </c>
      <c r="I32" s="30" t="e">
        <f t="shared" si="4"/>
        <v>#VALUE!</v>
      </c>
      <c r="J32" s="30" t="e">
        <f t="shared" si="5"/>
        <v>#VALUE!</v>
      </c>
      <c r="K32" s="33" t="e">
        <f t="shared" si="11"/>
        <v>#VALUE!</v>
      </c>
      <c r="L32" s="33" t="e">
        <f t="shared" si="6"/>
        <v>#VALUE!</v>
      </c>
      <c r="M32" s="33" t="e">
        <f t="shared" si="12"/>
        <v>#VALUE!</v>
      </c>
      <c r="N32" s="33" t="e">
        <f t="shared" si="13"/>
        <v>#VALUE!</v>
      </c>
      <c r="O32" s="33" t="e">
        <f t="shared" si="14"/>
        <v>#VALUE!</v>
      </c>
      <c r="P32" s="33" t="e">
        <f t="shared" si="15"/>
        <v>#VALUE!</v>
      </c>
      <c r="Q32" t="e">
        <f t="shared" si="16"/>
        <v>#VALUE!</v>
      </c>
    </row>
    <row r="33" spans="1:17" x14ac:dyDescent="0.15">
      <c r="A33" s="30">
        <v>99134304</v>
      </c>
      <c r="C33" s="42" t="e">
        <f t="shared" si="7"/>
        <v>#VALUE!</v>
      </c>
      <c r="D33" s="42" t="e">
        <f t="shared" si="8"/>
        <v>#VALUE!</v>
      </c>
      <c r="E33" s="49" t="e">
        <f t="shared" si="9"/>
        <v>#VALUE!</v>
      </c>
      <c r="F33" s="30" t="e">
        <f t="shared" si="2"/>
        <v>#VALUE!</v>
      </c>
      <c r="G33" s="49" t="e">
        <f t="shared" si="10"/>
        <v>#VALUE!</v>
      </c>
      <c r="H33" s="30" t="e">
        <f t="shared" si="3"/>
        <v>#VALUE!</v>
      </c>
      <c r="I33" s="30" t="e">
        <f t="shared" si="4"/>
        <v>#VALUE!</v>
      </c>
      <c r="J33" s="30" t="e">
        <f t="shared" si="5"/>
        <v>#VALUE!</v>
      </c>
      <c r="K33" s="33" t="e">
        <f t="shared" si="11"/>
        <v>#VALUE!</v>
      </c>
      <c r="L33" s="33" t="e">
        <f t="shared" si="6"/>
        <v>#VALUE!</v>
      </c>
      <c r="M33" s="33" t="e">
        <f t="shared" si="12"/>
        <v>#VALUE!</v>
      </c>
      <c r="N33" s="33" t="e">
        <f t="shared" si="13"/>
        <v>#VALUE!</v>
      </c>
      <c r="O33" s="33" t="e">
        <f t="shared" si="14"/>
        <v>#VALUE!</v>
      </c>
      <c r="P33" s="33" t="e">
        <f t="shared" si="15"/>
        <v>#VALUE!</v>
      </c>
      <c r="Q33" t="e">
        <f t="shared" si="16"/>
        <v>#VALUE!</v>
      </c>
    </row>
    <row r="34" spans="1:17" x14ac:dyDescent="0.15">
      <c r="A34" s="30">
        <v>11996802</v>
      </c>
      <c r="C34" s="42" t="e">
        <f t="shared" si="7"/>
        <v>#VALUE!</v>
      </c>
      <c r="D34" s="42" t="e">
        <f t="shared" si="8"/>
        <v>#VALUE!</v>
      </c>
      <c r="E34" s="49" t="e">
        <f t="shared" si="9"/>
        <v>#VALUE!</v>
      </c>
      <c r="F34" s="30" t="e">
        <f t="shared" si="2"/>
        <v>#VALUE!</v>
      </c>
      <c r="G34" s="49" t="e">
        <f t="shared" si="10"/>
        <v>#VALUE!</v>
      </c>
      <c r="H34" s="30" t="e">
        <f t="shared" si="3"/>
        <v>#VALUE!</v>
      </c>
      <c r="I34" s="30" t="e">
        <f t="shared" si="4"/>
        <v>#VALUE!</v>
      </c>
      <c r="J34" s="30" t="e">
        <f t="shared" si="5"/>
        <v>#VALUE!</v>
      </c>
      <c r="K34" s="33" t="e">
        <f t="shared" si="11"/>
        <v>#VALUE!</v>
      </c>
      <c r="L34" s="33" t="e">
        <f t="shared" si="6"/>
        <v>#VALUE!</v>
      </c>
      <c r="M34" s="33" t="e">
        <f t="shared" si="12"/>
        <v>#VALUE!</v>
      </c>
      <c r="N34" s="33" t="e">
        <f t="shared" si="13"/>
        <v>#VALUE!</v>
      </c>
      <c r="O34" s="33" t="e">
        <f t="shared" si="14"/>
        <v>#VALUE!</v>
      </c>
      <c r="P34" s="33" t="e">
        <f t="shared" si="15"/>
        <v>#VALUE!</v>
      </c>
      <c r="Q34" t="e">
        <f t="shared" si="16"/>
        <v>#VALUE!</v>
      </c>
    </row>
    <row r="35" spans="1:17" x14ac:dyDescent="0.15">
      <c r="A35" s="30">
        <v>98038856</v>
      </c>
      <c r="C35" s="42" t="e">
        <f t="shared" si="7"/>
        <v>#VALUE!</v>
      </c>
      <c r="D35" s="42" t="e">
        <f t="shared" si="8"/>
        <v>#VALUE!</v>
      </c>
      <c r="E35" s="49" t="e">
        <f t="shared" si="9"/>
        <v>#VALUE!</v>
      </c>
      <c r="F35" s="30" t="e">
        <f t="shared" si="2"/>
        <v>#VALUE!</v>
      </c>
      <c r="G35" s="49" t="e">
        <f t="shared" si="10"/>
        <v>#VALUE!</v>
      </c>
      <c r="H35" s="30" t="e">
        <f t="shared" si="3"/>
        <v>#VALUE!</v>
      </c>
      <c r="I35" s="30" t="e">
        <f t="shared" si="4"/>
        <v>#VALUE!</v>
      </c>
      <c r="J35" s="30" t="e">
        <f t="shared" si="5"/>
        <v>#VALUE!</v>
      </c>
      <c r="K35" s="33" t="e">
        <f t="shared" si="11"/>
        <v>#VALUE!</v>
      </c>
      <c r="L35" s="33" t="e">
        <f t="shared" si="6"/>
        <v>#VALUE!</v>
      </c>
      <c r="M35" s="33" t="e">
        <f t="shared" si="12"/>
        <v>#VALUE!</v>
      </c>
      <c r="N35" s="33" t="e">
        <f t="shared" si="13"/>
        <v>#VALUE!</v>
      </c>
      <c r="O35" s="33" t="e">
        <f t="shared" si="14"/>
        <v>#VALUE!</v>
      </c>
      <c r="P35" s="33" t="e">
        <f t="shared" si="15"/>
        <v>#VALUE!</v>
      </c>
      <c r="Q35" t="e">
        <f t="shared" si="16"/>
        <v>#VALUE!</v>
      </c>
    </row>
    <row r="36" spans="1:17" x14ac:dyDescent="0.15">
      <c r="A36" s="30">
        <v>11683149</v>
      </c>
      <c r="C36" s="42" t="e">
        <f t="shared" si="7"/>
        <v>#VALUE!</v>
      </c>
      <c r="D36" s="42" t="e">
        <f t="shared" si="8"/>
        <v>#VALUE!</v>
      </c>
      <c r="E36" s="49" t="e">
        <f t="shared" si="9"/>
        <v>#VALUE!</v>
      </c>
      <c r="F36" s="30" t="e">
        <f t="shared" si="2"/>
        <v>#VALUE!</v>
      </c>
      <c r="G36" s="49" t="e">
        <f t="shared" si="10"/>
        <v>#VALUE!</v>
      </c>
      <c r="H36" s="30" t="e">
        <f t="shared" si="3"/>
        <v>#VALUE!</v>
      </c>
      <c r="I36" s="30" t="e">
        <f t="shared" si="4"/>
        <v>#VALUE!</v>
      </c>
      <c r="J36" s="30" t="e">
        <f t="shared" si="5"/>
        <v>#VALUE!</v>
      </c>
      <c r="K36" s="33" t="e">
        <f t="shared" si="11"/>
        <v>#VALUE!</v>
      </c>
      <c r="L36" s="33" t="e">
        <f t="shared" si="6"/>
        <v>#VALUE!</v>
      </c>
      <c r="M36" s="33" t="e">
        <f t="shared" si="12"/>
        <v>#VALUE!</v>
      </c>
      <c r="N36" s="33" t="e">
        <f t="shared" si="13"/>
        <v>#VALUE!</v>
      </c>
      <c r="O36" s="33" t="e">
        <f t="shared" si="14"/>
        <v>#VALUE!</v>
      </c>
      <c r="P36" s="33" t="e">
        <f t="shared" si="15"/>
        <v>#VALUE!</v>
      </c>
      <c r="Q36" t="e">
        <f t="shared" si="16"/>
        <v>#VALUE!</v>
      </c>
    </row>
    <row r="37" spans="1:17" x14ac:dyDescent="0.15">
      <c r="A37" s="30">
        <v>11338910</v>
      </c>
      <c r="C37" s="42" t="e">
        <f t="shared" si="7"/>
        <v>#VALUE!</v>
      </c>
      <c r="D37" s="42" t="e">
        <f t="shared" si="8"/>
        <v>#VALUE!</v>
      </c>
      <c r="E37" s="49" t="e">
        <f t="shared" si="9"/>
        <v>#VALUE!</v>
      </c>
      <c r="F37" s="30" t="e">
        <f t="shared" si="2"/>
        <v>#VALUE!</v>
      </c>
      <c r="G37" s="49" t="e">
        <f t="shared" si="10"/>
        <v>#VALUE!</v>
      </c>
      <c r="H37" s="30" t="e">
        <f t="shared" si="3"/>
        <v>#VALUE!</v>
      </c>
      <c r="I37" s="30" t="e">
        <f t="shared" si="4"/>
        <v>#VALUE!</v>
      </c>
      <c r="J37" s="30" t="e">
        <f t="shared" si="5"/>
        <v>#VALUE!</v>
      </c>
      <c r="K37" s="33" t="e">
        <f t="shared" si="11"/>
        <v>#VALUE!</v>
      </c>
      <c r="L37" s="33" t="e">
        <f t="shared" si="6"/>
        <v>#VALUE!</v>
      </c>
      <c r="M37" s="33" t="e">
        <f t="shared" si="12"/>
        <v>#VALUE!</v>
      </c>
      <c r="N37" s="33" t="e">
        <f t="shared" si="13"/>
        <v>#VALUE!</v>
      </c>
      <c r="O37" s="33" t="e">
        <f t="shared" si="14"/>
        <v>#VALUE!</v>
      </c>
      <c r="P37" s="33" t="e">
        <f t="shared" si="15"/>
        <v>#VALUE!</v>
      </c>
      <c r="Q37" t="e">
        <f t="shared" si="16"/>
        <v>#VALUE!</v>
      </c>
    </row>
    <row r="38" spans="1:17" x14ac:dyDescent="0.15">
      <c r="A38" s="30">
        <v>12205389</v>
      </c>
      <c r="C38" s="42" t="e">
        <f t="shared" si="7"/>
        <v>#VALUE!</v>
      </c>
      <c r="D38" s="42" t="e">
        <f t="shared" si="8"/>
        <v>#VALUE!</v>
      </c>
      <c r="E38" s="49" t="e">
        <f t="shared" si="9"/>
        <v>#VALUE!</v>
      </c>
      <c r="F38" s="30" t="e">
        <f t="shared" si="2"/>
        <v>#VALUE!</v>
      </c>
      <c r="G38" s="49" t="e">
        <f t="shared" si="10"/>
        <v>#VALUE!</v>
      </c>
      <c r="H38" s="30" t="e">
        <f t="shared" si="3"/>
        <v>#VALUE!</v>
      </c>
      <c r="I38" s="30" t="e">
        <f t="shared" si="4"/>
        <v>#VALUE!</v>
      </c>
      <c r="J38" s="30" t="e">
        <f t="shared" si="5"/>
        <v>#VALUE!</v>
      </c>
      <c r="K38" s="33" t="e">
        <f t="shared" si="11"/>
        <v>#VALUE!</v>
      </c>
      <c r="L38" s="33" t="e">
        <f t="shared" si="6"/>
        <v>#VALUE!</v>
      </c>
      <c r="M38" s="33" t="e">
        <f t="shared" si="12"/>
        <v>#VALUE!</v>
      </c>
      <c r="N38" s="33" t="e">
        <f t="shared" si="13"/>
        <v>#VALUE!</v>
      </c>
      <c r="O38" s="33" t="e">
        <f t="shared" si="14"/>
        <v>#VALUE!</v>
      </c>
      <c r="P38" s="33" t="e">
        <f t="shared" si="15"/>
        <v>#VALUE!</v>
      </c>
      <c r="Q38" t="e">
        <f t="shared" si="16"/>
        <v>#VALUE!</v>
      </c>
    </row>
    <row r="39" spans="1:17" x14ac:dyDescent="0.15">
      <c r="A39" s="30">
        <v>11815178</v>
      </c>
      <c r="C39" s="42" t="e">
        <f t="shared" si="7"/>
        <v>#VALUE!</v>
      </c>
      <c r="D39" s="42" t="e">
        <f t="shared" si="8"/>
        <v>#VALUE!</v>
      </c>
      <c r="E39" s="49" t="e">
        <f t="shared" si="9"/>
        <v>#VALUE!</v>
      </c>
      <c r="F39" s="30" t="e">
        <f t="shared" si="2"/>
        <v>#VALUE!</v>
      </c>
      <c r="G39" s="49" t="e">
        <f t="shared" si="10"/>
        <v>#VALUE!</v>
      </c>
      <c r="H39" s="30" t="e">
        <f t="shared" si="3"/>
        <v>#VALUE!</v>
      </c>
      <c r="I39" s="30" t="e">
        <f t="shared" si="4"/>
        <v>#VALUE!</v>
      </c>
      <c r="J39" s="30" t="e">
        <f t="shared" si="5"/>
        <v>#VALUE!</v>
      </c>
      <c r="K39" s="33" t="e">
        <f t="shared" si="11"/>
        <v>#VALUE!</v>
      </c>
      <c r="L39" s="33" t="e">
        <f t="shared" si="6"/>
        <v>#VALUE!</v>
      </c>
      <c r="M39" s="33" t="e">
        <f t="shared" si="12"/>
        <v>#VALUE!</v>
      </c>
      <c r="N39" s="33" t="e">
        <f t="shared" si="13"/>
        <v>#VALUE!</v>
      </c>
      <c r="O39" s="33" t="e">
        <f t="shared" si="14"/>
        <v>#VALUE!</v>
      </c>
      <c r="P39" s="33" t="e">
        <f t="shared" si="15"/>
        <v>#VALUE!</v>
      </c>
      <c r="Q39" t="e">
        <f t="shared" si="16"/>
        <v>#VALUE!</v>
      </c>
    </row>
    <row r="40" spans="1:17" x14ac:dyDescent="0.15">
      <c r="A40" s="30">
        <v>11805280</v>
      </c>
      <c r="C40" s="42" t="e">
        <f t="shared" si="7"/>
        <v>#VALUE!</v>
      </c>
      <c r="D40" s="42" t="e">
        <f t="shared" si="8"/>
        <v>#VALUE!</v>
      </c>
      <c r="E40" s="49" t="e">
        <f t="shared" si="9"/>
        <v>#VALUE!</v>
      </c>
      <c r="F40" s="30" t="e">
        <f t="shared" si="2"/>
        <v>#VALUE!</v>
      </c>
      <c r="G40" s="49" t="e">
        <f t="shared" si="10"/>
        <v>#VALUE!</v>
      </c>
      <c r="H40" s="30" t="e">
        <f t="shared" si="3"/>
        <v>#VALUE!</v>
      </c>
      <c r="I40" s="30" t="e">
        <f t="shared" si="4"/>
        <v>#VALUE!</v>
      </c>
      <c r="J40" s="30" t="e">
        <f t="shared" si="5"/>
        <v>#VALUE!</v>
      </c>
      <c r="K40" s="33" t="e">
        <f t="shared" si="11"/>
        <v>#VALUE!</v>
      </c>
      <c r="L40" s="33" t="e">
        <f t="shared" si="6"/>
        <v>#VALUE!</v>
      </c>
      <c r="M40" s="33" t="e">
        <f t="shared" si="12"/>
        <v>#VALUE!</v>
      </c>
      <c r="N40" s="33" t="e">
        <f t="shared" si="13"/>
        <v>#VALUE!</v>
      </c>
      <c r="O40" s="33" t="e">
        <f t="shared" si="14"/>
        <v>#VALUE!</v>
      </c>
      <c r="P40" s="33" t="e">
        <f t="shared" si="15"/>
        <v>#VALUE!</v>
      </c>
      <c r="Q40" t="e">
        <f t="shared" si="16"/>
        <v>#VALUE!</v>
      </c>
    </row>
    <row r="41" spans="1:17" x14ac:dyDescent="0.15">
      <c r="A41" s="30">
        <v>11830472</v>
      </c>
      <c r="C41" s="42" t="e">
        <f t="shared" si="7"/>
        <v>#VALUE!</v>
      </c>
      <c r="D41" s="42" t="e">
        <f t="shared" si="8"/>
        <v>#VALUE!</v>
      </c>
      <c r="E41" s="49" t="e">
        <f t="shared" si="9"/>
        <v>#VALUE!</v>
      </c>
      <c r="F41" s="30" t="e">
        <f t="shared" si="2"/>
        <v>#VALUE!</v>
      </c>
      <c r="G41" s="49" t="e">
        <f t="shared" si="10"/>
        <v>#VALUE!</v>
      </c>
      <c r="H41" s="30" t="e">
        <f t="shared" si="3"/>
        <v>#VALUE!</v>
      </c>
      <c r="I41" s="30" t="e">
        <f t="shared" si="4"/>
        <v>#VALUE!</v>
      </c>
      <c r="J41" s="30" t="e">
        <f t="shared" si="5"/>
        <v>#VALUE!</v>
      </c>
      <c r="K41" s="33" t="e">
        <f t="shared" si="11"/>
        <v>#VALUE!</v>
      </c>
      <c r="L41" s="33" t="e">
        <f t="shared" si="6"/>
        <v>#VALUE!</v>
      </c>
      <c r="M41" s="33" t="e">
        <f t="shared" si="12"/>
        <v>#VALUE!</v>
      </c>
      <c r="N41" s="33" t="e">
        <f t="shared" si="13"/>
        <v>#VALUE!</v>
      </c>
      <c r="O41" s="33" t="e">
        <f t="shared" si="14"/>
        <v>#VALUE!</v>
      </c>
      <c r="P41" s="33" t="e">
        <f t="shared" si="15"/>
        <v>#VALUE!</v>
      </c>
      <c r="Q41" t="e">
        <f t="shared" si="16"/>
        <v>#VALUE!</v>
      </c>
    </row>
    <row r="42" spans="1:17" x14ac:dyDescent="0.15">
      <c r="A42" s="30">
        <v>11392711</v>
      </c>
      <c r="C42" s="42" t="e">
        <f t="shared" si="7"/>
        <v>#VALUE!</v>
      </c>
      <c r="D42" s="42" t="e">
        <f t="shared" si="8"/>
        <v>#VALUE!</v>
      </c>
      <c r="E42" s="49" t="e">
        <f t="shared" si="9"/>
        <v>#VALUE!</v>
      </c>
      <c r="F42" s="30" t="e">
        <f t="shared" si="2"/>
        <v>#VALUE!</v>
      </c>
      <c r="G42" s="49" t="e">
        <f t="shared" si="10"/>
        <v>#VALUE!</v>
      </c>
      <c r="H42" s="30" t="e">
        <f t="shared" si="3"/>
        <v>#VALUE!</v>
      </c>
      <c r="I42" s="30" t="e">
        <f t="shared" si="4"/>
        <v>#VALUE!</v>
      </c>
      <c r="J42" s="30" t="e">
        <f t="shared" si="5"/>
        <v>#VALUE!</v>
      </c>
      <c r="K42" s="33" t="e">
        <f t="shared" si="11"/>
        <v>#VALUE!</v>
      </c>
      <c r="L42" s="33" t="e">
        <f t="shared" si="6"/>
        <v>#VALUE!</v>
      </c>
      <c r="M42" s="33" t="e">
        <f t="shared" si="12"/>
        <v>#VALUE!</v>
      </c>
      <c r="N42" s="33" t="e">
        <f t="shared" si="13"/>
        <v>#VALUE!</v>
      </c>
      <c r="O42" s="33" t="e">
        <f t="shared" si="14"/>
        <v>#VALUE!</v>
      </c>
      <c r="P42" s="33" t="e">
        <f t="shared" si="15"/>
        <v>#VALUE!</v>
      </c>
      <c r="Q42" t="e">
        <f t="shared" si="16"/>
        <v>#VALUE!</v>
      </c>
    </row>
    <row r="43" spans="1:17" x14ac:dyDescent="0.15">
      <c r="A43" s="30">
        <v>11970643</v>
      </c>
      <c r="C43" s="42" t="e">
        <f t="shared" si="7"/>
        <v>#VALUE!</v>
      </c>
      <c r="D43" s="42" t="e">
        <f t="shared" si="8"/>
        <v>#VALUE!</v>
      </c>
      <c r="E43" s="49" t="e">
        <f t="shared" si="9"/>
        <v>#VALUE!</v>
      </c>
      <c r="F43" s="30" t="e">
        <f t="shared" si="2"/>
        <v>#VALUE!</v>
      </c>
      <c r="G43" s="49" t="e">
        <f t="shared" si="10"/>
        <v>#VALUE!</v>
      </c>
      <c r="H43" s="30" t="e">
        <f t="shared" si="3"/>
        <v>#VALUE!</v>
      </c>
      <c r="I43" s="30" t="e">
        <f t="shared" si="4"/>
        <v>#VALUE!</v>
      </c>
      <c r="J43" s="30" t="e">
        <f t="shared" si="5"/>
        <v>#VALUE!</v>
      </c>
      <c r="K43" s="33" t="e">
        <f t="shared" si="11"/>
        <v>#VALUE!</v>
      </c>
      <c r="L43" s="33" t="e">
        <f t="shared" si="6"/>
        <v>#VALUE!</v>
      </c>
      <c r="M43" s="33" t="e">
        <f t="shared" si="12"/>
        <v>#VALUE!</v>
      </c>
      <c r="N43" s="33" t="e">
        <f t="shared" si="13"/>
        <v>#VALUE!</v>
      </c>
      <c r="O43" s="33" t="e">
        <f t="shared" si="14"/>
        <v>#VALUE!</v>
      </c>
      <c r="P43" s="33" t="e">
        <f t="shared" si="15"/>
        <v>#VALUE!</v>
      </c>
      <c r="Q43" t="e">
        <f t="shared" si="16"/>
        <v>#VALUE!</v>
      </c>
    </row>
    <row r="44" spans="1:17" x14ac:dyDescent="0.15">
      <c r="A44" s="30">
        <v>11284813</v>
      </c>
      <c r="C44" s="42" t="e">
        <f t="shared" si="7"/>
        <v>#VALUE!</v>
      </c>
      <c r="D44" s="42" t="e">
        <f t="shared" si="8"/>
        <v>#VALUE!</v>
      </c>
      <c r="E44" s="49" t="e">
        <f t="shared" si="9"/>
        <v>#VALUE!</v>
      </c>
      <c r="F44" s="30" t="e">
        <f t="shared" si="2"/>
        <v>#VALUE!</v>
      </c>
      <c r="G44" s="49" t="e">
        <f t="shared" si="10"/>
        <v>#VALUE!</v>
      </c>
      <c r="H44" s="30" t="e">
        <f t="shared" si="3"/>
        <v>#VALUE!</v>
      </c>
      <c r="I44" s="30" t="e">
        <f t="shared" si="4"/>
        <v>#VALUE!</v>
      </c>
      <c r="J44" s="30" t="e">
        <f t="shared" si="5"/>
        <v>#VALUE!</v>
      </c>
      <c r="K44" s="33" t="e">
        <f t="shared" si="11"/>
        <v>#VALUE!</v>
      </c>
      <c r="L44" s="33" t="e">
        <f t="shared" si="6"/>
        <v>#VALUE!</v>
      </c>
      <c r="M44" s="33" t="e">
        <f t="shared" si="12"/>
        <v>#VALUE!</v>
      </c>
      <c r="N44" s="33" t="e">
        <f t="shared" si="13"/>
        <v>#VALUE!</v>
      </c>
      <c r="O44" s="33" t="e">
        <f t="shared" si="14"/>
        <v>#VALUE!</v>
      </c>
      <c r="P44" s="33" t="e">
        <f t="shared" si="15"/>
        <v>#VALUE!</v>
      </c>
      <c r="Q44" t="e">
        <f t="shared" si="16"/>
        <v>#VALUE!</v>
      </c>
    </row>
    <row r="45" spans="1:17" x14ac:dyDescent="0.15">
      <c r="A45" s="30">
        <v>12933786</v>
      </c>
      <c r="C45" s="42" t="e">
        <f t="shared" si="7"/>
        <v>#VALUE!</v>
      </c>
      <c r="D45" s="42" t="e">
        <f t="shared" si="8"/>
        <v>#VALUE!</v>
      </c>
      <c r="E45" s="49" t="e">
        <f t="shared" si="9"/>
        <v>#VALUE!</v>
      </c>
      <c r="F45" s="30" t="e">
        <f t="shared" si="2"/>
        <v>#VALUE!</v>
      </c>
      <c r="G45" s="49" t="e">
        <f t="shared" si="10"/>
        <v>#VALUE!</v>
      </c>
      <c r="H45" s="30" t="e">
        <f t="shared" si="3"/>
        <v>#VALUE!</v>
      </c>
      <c r="I45" s="30" t="e">
        <f t="shared" si="4"/>
        <v>#VALUE!</v>
      </c>
      <c r="J45" s="30" t="e">
        <f t="shared" si="5"/>
        <v>#VALUE!</v>
      </c>
      <c r="K45" s="33" t="e">
        <f t="shared" si="11"/>
        <v>#VALUE!</v>
      </c>
      <c r="L45" s="33" t="e">
        <f t="shared" si="6"/>
        <v>#VALUE!</v>
      </c>
      <c r="M45" s="33" t="e">
        <f t="shared" si="12"/>
        <v>#VALUE!</v>
      </c>
      <c r="N45" s="33" t="e">
        <f t="shared" si="13"/>
        <v>#VALUE!</v>
      </c>
      <c r="O45" s="33" t="e">
        <f t="shared" si="14"/>
        <v>#VALUE!</v>
      </c>
      <c r="P45" s="33" t="e">
        <f t="shared" si="15"/>
        <v>#VALUE!</v>
      </c>
      <c r="Q45" t="e">
        <f t="shared" si="16"/>
        <v>#VALUE!</v>
      </c>
    </row>
    <row r="46" spans="1:17" x14ac:dyDescent="0.15">
      <c r="A46" s="30">
        <v>11704830</v>
      </c>
      <c r="C46" s="42" t="e">
        <f t="shared" si="7"/>
        <v>#VALUE!</v>
      </c>
      <c r="D46" s="42" t="e">
        <f t="shared" si="8"/>
        <v>#VALUE!</v>
      </c>
      <c r="E46" s="49" t="e">
        <f t="shared" si="9"/>
        <v>#VALUE!</v>
      </c>
      <c r="F46" s="30" t="e">
        <f t="shared" si="2"/>
        <v>#VALUE!</v>
      </c>
      <c r="G46" s="49" t="e">
        <f t="shared" si="10"/>
        <v>#VALUE!</v>
      </c>
      <c r="H46" s="30" t="e">
        <f t="shared" si="3"/>
        <v>#VALUE!</v>
      </c>
      <c r="I46" s="30" t="e">
        <f t="shared" si="4"/>
        <v>#VALUE!</v>
      </c>
      <c r="J46" s="30" t="e">
        <f t="shared" si="5"/>
        <v>#VALUE!</v>
      </c>
      <c r="K46" s="33" t="e">
        <f t="shared" si="11"/>
        <v>#VALUE!</v>
      </c>
      <c r="L46" s="33" t="e">
        <f t="shared" si="6"/>
        <v>#VALUE!</v>
      </c>
      <c r="M46" s="33" t="e">
        <f t="shared" si="12"/>
        <v>#VALUE!</v>
      </c>
      <c r="N46" s="33" t="e">
        <f t="shared" si="13"/>
        <v>#VALUE!</v>
      </c>
      <c r="O46" s="33" t="e">
        <f t="shared" si="14"/>
        <v>#VALUE!</v>
      </c>
      <c r="P46" s="33" t="e">
        <f t="shared" si="15"/>
        <v>#VALUE!</v>
      </c>
      <c r="Q46" t="e">
        <f t="shared" si="16"/>
        <v>#VALUE!</v>
      </c>
    </row>
    <row r="47" spans="1:17" x14ac:dyDescent="0.15">
      <c r="A47" s="30">
        <v>99176188</v>
      </c>
      <c r="C47" s="42" t="e">
        <f t="shared" si="7"/>
        <v>#VALUE!</v>
      </c>
      <c r="D47" s="42" t="e">
        <f t="shared" si="8"/>
        <v>#VALUE!</v>
      </c>
      <c r="E47" s="49" t="e">
        <f t="shared" si="9"/>
        <v>#VALUE!</v>
      </c>
      <c r="F47" s="30" t="e">
        <f t="shared" si="2"/>
        <v>#VALUE!</v>
      </c>
      <c r="G47" s="49" t="e">
        <f t="shared" si="10"/>
        <v>#VALUE!</v>
      </c>
      <c r="H47" s="30" t="e">
        <f t="shared" si="3"/>
        <v>#VALUE!</v>
      </c>
      <c r="I47" s="30" t="e">
        <f t="shared" si="4"/>
        <v>#VALUE!</v>
      </c>
      <c r="J47" s="30" t="e">
        <f t="shared" si="5"/>
        <v>#VALUE!</v>
      </c>
      <c r="K47" s="33" t="e">
        <f t="shared" si="11"/>
        <v>#VALUE!</v>
      </c>
      <c r="L47" s="33" t="e">
        <f t="shared" si="6"/>
        <v>#VALUE!</v>
      </c>
      <c r="M47" s="33" t="e">
        <f t="shared" si="12"/>
        <v>#VALUE!</v>
      </c>
      <c r="N47" s="33" t="e">
        <f t="shared" si="13"/>
        <v>#VALUE!</v>
      </c>
      <c r="O47" s="33" t="e">
        <f t="shared" si="14"/>
        <v>#VALUE!</v>
      </c>
      <c r="P47" s="33" t="e">
        <f t="shared" si="15"/>
        <v>#VALUE!</v>
      </c>
      <c r="Q47" t="e">
        <f t="shared" si="16"/>
        <v>#VALUE!</v>
      </c>
    </row>
    <row r="48" spans="1:17" x14ac:dyDescent="0.15">
      <c r="A48" s="30">
        <v>12149175</v>
      </c>
      <c r="C48" s="42" t="e">
        <f t="shared" si="7"/>
        <v>#VALUE!</v>
      </c>
      <c r="D48" s="42" t="e">
        <f t="shared" si="8"/>
        <v>#VALUE!</v>
      </c>
      <c r="E48" s="49" t="e">
        <f t="shared" si="9"/>
        <v>#VALUE!</v>
      </c>
      <c r="F48" s="30" t="e">
        <f t="shared" si="2"/>
        <v>#VALUE!</v>
      </c>
      <c r="G48" s="49" t="e">
        <f t="shared" si="10"/>
        <v>#VALUE!</v>
      </c>
      <c r="H48" s="30" t="e">
        <f t="shared" si="3"/>
        <v>#VALUE!</v>
      </c>
      <c r="I48" s="30" t="e">
        <f t="shared" si="4"/>
        <v>#VALUE!</v>
      </c>
      <c r="J48" s="30" t="e">
        <f t="shared" si="5"/>
        <v>#VALUE!</v>
      </c>
      <c r="K48" s="33" t="e">
        <f t="shared" si="11"/>
        <v>#VALUE!</v>
      </c>
      <c r="L48" s="33" t="e">
        <f t="shared" si="6"/>
        <v>#VALUE!</v>
      </c>
      <c r="M48" s="33" t="e">
        <f t="shared" si="12"/>
        <v>#VALUE!</v>
      </c>
      <c r="N48" s="33" t="e">
        <f t="shared" si="13"/>
        <v>#VALUE!</v>
      </c>
      <c r="O48" s="33" t="e">
        <f t="shared" si="14"/>
        <v>#VALUE!</v>
      </c>
      <c r="P48" s="33" t="e">
        <f t="shared" si="15"/>
        <v>#VALUE!</v>
      </c>
      <c r="Q48" t="e">
        <f t="shared" si="16"/>
        <v>#VALUE!</v>
      </c>
    </row>
    <row r="49" spans="1:17" x14ac:dyDescent="0.15">
      <c r="A49" s="30">
        <v>97117079</v>
      </c>
      <c r="C49" s="42" t="e">
        <f t="shared" si="7"/>
        <v>#VALUE!</v>
      </c>
      <c r="D49" s="42" t="e">
        <f t="shared" si="8"/>
        <v>#VALUE!</v>
      </c>
      <c r="E49" s="49" t="e">
        <f t="shared" si="9"/>
        <v>#VALUE!</v>
      </c>
      <c r="F49" s="30" t="e">
        <f t="shared" si="2"/>
        <v>#VALUE!</v>
      </c>
      <c r="G49" s="49" t="e">
        <f t="shared" si="10"/>
        <v>#VALUE!</v>
      </c>
      <c r="H49" s="30" t="e">
        <f t="shared" si="3"/>
        <v>#VALUE!</v>
      </c>
      <c r="I49" s="30" t="e">
        <f t="shared" si="4"/>
        <v>#VALUE!</v>
      </c>
      <c r="J49" s="30" t="e">
        <f t="shared" si="5"/>
        <v>#VALUE!</v>
      </c>
      <c r="K49" s="33" t="e">
        <f t="shared" si="11"/>
        <v>#VALUE!</v>
      </c>
      <c r="L49" s="33" t="e">
        <f t="shared" si="6"/>
        <v>#VALUE!</v>
      </c>
      <c r="M49" s="33" t="e">
        <f t="shared" si="12"/>
        <v>#VALUE!</v>
      </c>
      <c r="N49" s="33" t="e">
        <f t="shared" si="13"/>
        <v>#VALUE!</v>
      </c>
      <c r="O49" s="33" t="e">
        <f t="shared" si="14"/>
        <v>#VALUE!</v>
      </c>
      <c r="P49" s="33" t="e">
        <f t="shared" si="15"/>
        <v>#VALUE!</v>
      </c>
      <c r="Q49" t="e">
        <f t="shared" si="16"/>
        <v>#VALUE!</v>
      </c>
    </row>
    <row r="50" spans="1:17" x14ac:dyDescent="0.15">
      <c r="A50" s="30">
        <v>11654593</v>
      </c>
      <c r="C50" s="42" t="e">
        <f t="shared" si="7"/>
        <v>#VALUE!</v>
      </c>
      <c r="D50" s="42" t="e">
        <f t="shared" si="8"/>
        <v>#VALUE!</v>
      </c>
      <c r="E50" s="49" t="e">
        <f t="shared" si="9"/>
        <v>#VALUE!</v>
      </c>
      <c r="F50" s="30" t="e">
        <f t="shared" si="2"/>
        <v>#VALUE!</v>
      </c>
      <c r="G50" s="49" t="e">
        <f t="shared" si="10"/>
        <v>#VALUE!</v>
      </c>
      <c r="H50" s="30" t="e">
        <f t="shared" si="3"/>
        <v>#VALUE!</v>
      </c>
      <c r="I50" s="30" t="e">
        <f t="shared" si="4"/>
        <v>#VALUE!</v>
      </c>
      <c r="J50" s="30" t="e">
        <f t="shared" si="5"/>
        <v>#VALUE!</v>
      </c>
      <c r="K50" s="33" t="e">
        <f t="shared" si="11"/>
        <v>#VALUE!</v>
      </c>
      <c r="L50" s="33" t="e">
        <f t="shared" si="6"/>
        <v>#VALUE!</v>
      </c>
      <c r="M50" s="33" t="e">
        <f t="shared" si="12"/>
        <v>#VALUE!</v>
      </c>
      <c r="N50" s="33" t="e">
        <f t="shared" si="13"/>
        <v>#VALUE!</v>
      </c>
      <c r="O50" s="33" t="e">
        <f t="shared" si="14"/>
        <v>#VALUE!</v>
      </c>
      <c r="P50" s="33" t="e">
        <f t="shared" si="15"/>
        <v>#VALUE!</v>
      </c>
      <c r="Q50" t="e">
        <f t="shared" si="16"/>
        <v>#VALUE!</v>
      </c>
    </row>
    <row r="51" spans="1:17" x14ac:dyDescent="0.15">
      <c r="A51" s="30">
        <v>98062197</v>
      </c>
      <c r="C51" s="42" t="e">
        <f t="shared" si="7"/>
        <v>#VALUE!</v>
      </c>
      <c r="D51" s="42" t="e">
        <f t="shared" si="8"/>
        <v>#VALUE!</v>
      </c>
      <c r="E51" s="49" t="e">
        <f t="shared" si="9"/>
        <v>#VALUE!</v>
      </c>
      <c r="F51" s="30" t="e">
        <f t="shared" si="2"/>
        <v>#VALUE!</v>
      </c>
      <c r="G51" s="49" t="e">
        <f t="shared" si="10"/>
        <v>#VALUE!</v>
      </c>
      <c r="H51" s="30" t="e">
        <f t="shared" si="3"/>
        <v>#VALUE!</v>
      </c>
      <c r="I51" s="30" t="e">
        <f t="shared" si="4"/>
        <v>#VALUE!</v>
      </c>
      <c r="J51" s="30" t="e">
        <f t="shared" si="5"/>
        <v>#VALUE!</v>
      </c>
      <c r="K51" s="33" t="e">
        <f t="shared" si="11"/>
        <v>#VALUE!</v>
      </c>
      <c r="L51" s="33" t="e">
        <f t="shared" si="6"/>
        <v>#VALUE!</v>
      </c>
      <c r="M51" s="33" t="e">
        <f t="shared" si="12"/>
        <v>#VALUE!</v>
      </c>
      <c r="N51" s="33" t="e">
        <f t="shared" si="13"/>
        <v>#VALUE!</v>
      </c>
      <c r="O51" s="33" t="e">
        <f t="shared" si="14"/>
        <v>#VALUE!</v>
      </c>
      <c r="P51" s="33" t="e">
        <f t="shared" si="15"/>
        <v>#VALUE!</v>
      </c>
      <c r="Q51" t="e">
        <f t="shared" si="16"/>
        <v>#VALUE!</v>
      </c>
    </row>
    <row r="52" spans="1:17" x14ac:dyDescent="0.15">
      <c r="A52" s="30">
        <v>98057577</v>
      </c>
      <c r="C52" s="42" t="e">
        <f t="shared" si="7"/>
        <v>#VALUE!</v>
      </c>
      <c r="D52" s="42" t="e">
        <f t="shared" si="8"/>
        <v>#VALUE!</v>
      </c>
      <c r="E52" s="49" t="e">
        <f t="shared" si="9"/>
        <v>#VALUE!</v>
      </c>
      <c r="F52" s="30" t="e">
        <f t="shared" si="2"/>
        <v>#VALUE!</v>
      </c>
      <c r="G52" s="49" t="e">
        <f t="shared" si="10"/>
        <v>#VALUE!</v>
      </c>
      <c r="H52" s="30" t="e">
        <f t="shared" si="3"/>
        <v>#VALUE!</v>
      </c>
      <c r="I52" s="30" t="e">
        <f t="shared" si="4"/>
        <v>#VALUE!</v>
      </c>
      <c r="J52" s="30" t="e">
        <f t="shared" si="5"/>
        <v>#VALUE!</v>
      </c>
      <c r="K52" s="33" t="e">
        <f t="shared" si="11"/>
        <v>#VALUE!</v>
      </c>
      <c r="L52" s="33" t="e">
        <f t="shared" si="6"/>
        <v>#VALUE!</v>
      </c>
      <c r="M52" s="33" t="e">
        <f t="shared" si="12"/>
        <v>#VALUE!</v>
      </c>
      <c r="N52" s="33" t="e">
        <f t="shared" si="13"/>
        <v>#VALUE!</v>
      </c>
      <c r="O52" s="33" t="e">
        <f t="shared" si="14"/>
        <v>#VALUE!</v>
      </c>
      <c r="P52" s="33" t="e">
        <f t="shared" si="15"/>
        <v>#VALUE!</v>
      </c>
      <c r="Q52" t="e">
        <f t="shared" si="16"/>
        <v>#VALUE!</v>
      </c>
    </row>
    <row r="53" spans="1:17" x14ac:dyDescent="0.15">
      <c r="A53" s="30">
        <v>12029676</v>
      </c>
      <c r="C53" s="42" t="e">
        <f t="shared" si="7"/>
        <v>#VALUE!</v>
      </c>
      <c r="D53" s="42" t="e">
        <f t="shared" si="8"/>
        <v>#VALUE!</v>
      </c>
      <c r="E53" s="49" t="e">
        <f t="shared" si="9"/>
        <v>#VALUE!</v>
      </c>
      <c r="F53" s="30" t="e">
        <f t="shared" si="2"/>
        <v>#VALUE!</v>
      </c>
      <c r="G53" s="49" t="e">
        <f t="shared" si="10"/>
        <v>#VALUE!</v>
      </c>
      <c r="H53" s="30" t="e">
        <f t="shared" si="3"/>
        <v>#VALUE!</v>
      </c>
      <c r="I53" s="30" t="e">
        <f t="shared" si="4"/>
        <v>#VALUE!</v>
      </c>
      <c r="J53" s="30" t="e">
        <f t="shared" si="5"/>
        <v>#VALUE!</v>
      </c>
      <c r="K53" s="33" t="e">
        <f t="shared" si="11"/>
        <v>#VALUE!</v>
      </c>
      <c r="L53" s="33" t="e">
        <f t="shared" si="6"/>
        <v>#VALUE!</v>
      </c>
      <c r="M53" s="33" t="e">
        <f t="shared" si="12"/>
        <v>#VALUE!</v>
      </c>
      <c r="N53" s="33" t="e">
        <f t="shared" si="13"/>
        <v>#VALUE!</v>
      </c>
      <c r="O53" s="33" t="e">
        <f t="shared" si="14"/>
        <v>#VALUE!</v>
      </c>
      <c r="P53" s="33" t="e">
        <f t="shared" si="15"/>
        <v>#VALUE!</v>
      </c>
      <c r="Q53" t="e">
        <f t="shared" si="16"/>
        <v>#VALUE!</v>
      </c>
    </row>
    <row r="54" spans="1:17" x14ac:dyDescent="0.15">
      <c r="A54" s="30">
        <v>97116115</v>
      </c>
      <c r="C54" s="42" t="e">
        <f t="shared" si="7"/>
        <v>#VALUE!</v>
      </c>
      <c r="D54" s="42" t="e">
        <f t="shared" si="8"/>
        <v>#VALUE!</v>
      </c>
      <c r="E54" s="49" t="e">
        <f t="shared" si="9"/>
        <v>#VALUE!</v>
      </c>
      <c r="F54" s="30" t="e">
        <f t="shared" si="2"/>
        <v>#VALUE!</v>
      </c>
      <c r="G54" s="49" t="e">
        <f t="shared" si="10"/>
        <v>#VALUE!</v>
      </c>
      <c r="H54" s="30" t="e">
        <f t="shared" si="3"/>
        <v>#VALUE!</v>
      </c>
      <c r="I54" s="30" t="e">
        <f t="shared" si="4"/>
        <v>#VALUE!</v>
      </c>
      <c r="J54" s="30" t="e">
        <f t="shared" si="5"/>
        <v>#VALUE!</v>
      </c>
      <c r="K54" s="33" t="e">
        <f t="shared" si="11"/>
        <v>#VALUE!</v>
      </c>
      <c r="L54" s="33" t="e">
        <f t="shared" si="6"/>
        <v>#VALUE!</v>
      </c>
      <c r="M54" s="33" t="e">
        <f t="shared" si="12"/>
        <v>#VALUE!</v>
      </c>
      <c r="N54" s="33" t="e">
        <f t="shared" si="13"/>
        <v>#VALUE!</v>
      </c>
      <c r="O54" s="33" t="e">
        <f t="shared" si="14"/>
        <v>#VALUE!</v>
      </c>
      <c r="P54" s="33" t="e">
        <f t="shared" si="15"/>
        <v>#VALUE!</v>
      </c>
      <c r="Q54" t="e">
        <f t="shared" si="16"/>
        <v>#VALUE!</v>
      </c>
    </row>
    <row r="55" spans="1:17" x14ac:dyDescent="0.15">
      <c r="A55" s="30">
        <v>11702863</v>
      </c>
      <c r="C55" s="42" t="e">
        <f t="shared" si="7"/>
        <v>#VALUE!</v>
      </c>
      <c r="D55" s="42" t="e">
        <f t="shared" si="8"/>
        <v>#VALUE!</v>
      </c>
      <c r="E55" s="49" t="e">
        <f t="shared" si="9"/>
        <v>#VALUE!</v>
      </c>
      <c r="F55" s="30" t="e">
        <f t="shared" si="2"/>
        <v>#VALUE!</v>
      </c>
      <c r="G55" s="49" t="e">
        <f t="shared" si="10"/>
        <v>#VALUE!</v>
      </c>
      <c r="H55" s="30" t="e">
        <f t="shared" si="3"/>
        <v>#VALUE!</v>
      </c>
      <c r="I55" s="30" t="e">
        <f t="shared" si="4"/>
        <v>#VALUE!</v>
      </c>
      <c r="J55" s="30" t="e">
        <f t="shared" si="5"/>
        <v>#VALUE!</v>
      </c>
      <c r="K55" s="33" t="e">
        <f t="shared" si="11"/>
        <v>#VALUE!</v>
      </c>
      <c r="L55" s="33" t="e">
        <f t="shared" si="6"/>
        <v>#VALUE!</v>
      </c>
      <c r="M55" s="33" t="e">
        <f t="shared" si="12"/>
        <v>#VALUE!</v>
      </c>
      <c r="N55" s="33" t="e">
        <f t="shared" si="13"/>
        <v>#VALUE!</v>
      </c>
      <c r="O55" s="33" t="e">
        <f t="shared" si="14"/>
        <v>#VALUE!</v>
      </c>
      <c r="P55" s="33" t="e">
        <f t="shared" si="15"/>
        <v>#VALUE!</v>
      </c>
      <c r="Q55" t="e">
        <f t="shared" si="16"/>
        <v>#VALUE!</v>
      </c>
    </row>
    <row r="56" spans="1:17" x14ac:dyDescent="0.15">
      <c r="A56" s="30">
        <v>12203461</v>
      </c>
      <c r="C56" s="42" t="e">
        <f t="shared" si="7"/>
        <v>#VALUE!</v>
      </c>
      <c r="D56" s="42" t="e">
        <f t="shared" si="8"/>
        <v>#VALUE!</v>
      </c>
      <c r="E56" s="49" t="e">
        <f t="shared" si="9"/>
        <v>#VALUE!</v>
      </c>
      <c r="F56" s="30" t="e">
        <f t="shared" si="2"/>
        <v>#VALUE!</v>
      </c>
      <c r="G56" s="49" t="e">
        <f t="shared" si="10"/>
        <v>#VALUE!</v>
      </c>
      <c r="H56" s="30" t="e">
        <f t="shared" si="3"/>
        <v>#VALUE!</v>
      </c>
      <c r="I56" s="30" t="e">
        <f t="shared" si="4"/>
        <v>#VALUE!</v>
      </c>
      <c r="J56" s="30" t="e">
        <f t="shared" si="5"/>
        <v>#VALUE!</v>
      </c>
      <c r="K56" s="33" t="e">
        <f t="shared" si="11"/>
        <v>#VALUE!</v>
      </c>
      <c r="L56" s="33" t="e">
        <f t="shared" si="6"/>
        <v>#VALUE!</v>
      </c>
      <c r="M56" s="33" t="e">
        <f t="shared" si="12"/>
        <v>#VALUE!</v>
      </c>
      <c r="N56" s="33" t="e">
        <f t="shared" si="13"/>
        <v>#VALUE!</v>
      </c>
      <c r="O56" s="33" t="e">
        <f t="shared" si="14"/>
        <v>#VALUE!</v>
      </c>
      <c r="P56" s="33" t="e">
        <f t="shared" si="15"/>
        <v>#VALUE!</v>
      </c>
      <c r="Q56" t="e">
        <f t="shared" si="16"/>
        <v>#VALUE!</v>
      </c>
    </row>
    <row r="57" spans="1:17" x14ac:dyDescent="0.15">
      <c r="A57" s="30">
        <v>99129847</v>
      </c>
      <c r="C57" s="42" t="e">
        <f t="shared" si="7"/>
        <v>#VALUE!</v>
      </c>
      <c r="D57" s="42" t="e">
        <f t="shared" si="8"/>
        <v>#VALUE!</v>
      </c>
      <c r="E57" s="49" t="e">
        <f t="shared" si="9"/>
        <v>#VALUE!</v>
      </c>
      <c r="F57" s="30" t="e">
        <f t="shared" si="2"/>
        <v>#VALUE!</v>
      </c>
      <c r="G57" s="49" t="e">
        <f t="shared" si="10"/>
        <v>#VALUE!</v>
      </c>
      <c r="H57" s="30" t="e">
        <f t="shared" si="3"/>
        <v>#VALUE!</v>
      </c>
      <c r="I57" s="30" t="e">
        <f t="shared" si="4"/>
        <v>#VALUE!</v>
      </c>
      <c r="J57" s="30" t="e">
        <f t="shared" si="5"/>
        <v>#VALUE!</v>
      </c>
      <c r="K57" s="33" t="e">
        <f t="shared" si="11"/>
        <v>#VALUE!</v>
      </c>
      <c r="L57" s="33" t="e">
        <f t="shared" si="6"/>
        <v>#VALUE!</v>
      </c>
      <c r="M57" s="33" t="e">
        <f t="shared" si="12"/>
        <v>#VALUE!</v>
      </c>
      <c r="N57" s="33" t="e">
        <f t="shared" si="13"/>
        <v>#VALUE!</v>
      </c>
      <c r="O57" s="33" t="e">
        <f t="shared" si="14"/>
        <v>#VALUE!</v>
      </c>
      <c r="P57" s="33" t="e">
        <f t="shared" si="15"/>
        <v>#VALUE!</v>
      </c>
      <c r="Q57" t="e">
        <f t="shared" si="16"/>
        <v>#VALUE!</v>
      </c>
    </row>
    <row r="58" spans="1:17" x14ac:dyDescent="0.15">
      <c r="A58" s="30">
        <v>12080228</v>
      </c>
      <c r="C58" s="42" t="e">
        <f t="shared" si="7"/>
        <v>#VALUE!</v>
      </c>
      <c r="D58" s="42" t="e">
        <f t="shared" si="8"/>
        <v>#VALUE!</v>
      </c>
      <c r="E58" s="49" t="e">
        <f t="shared" si="9"/>
        <v>#VALUE!</v>
      </c>
      <c r="F58" s="30" t="e">
        <f t="shared" si="2"/>
        <v>#VALUE!</v>
      </c>
      <c r="G58" s="49" t="e">
        <f t="shared" si="10"/>
        <v>#VALUE!</v>
      </c>
      <c r="H58" s="30" t="e">
        <f t="shared" si="3"/>
        <v>#VALUE!</v>
      </c>
      <c r="I58" s="30" t="e">
        <f t="shared" si="4"/>
        <v>#VALUE!</v>
      </c>
      <c r="J58" s="30" t="e">
        <f t="shared" si="5"/>
        <v>#VALUE!</v>
      </c>
      <c r="K58" s="33" t="e">
        <f t="shared" si="11"/>
        <v>#VALUE!</v>
      </c>
      <c r="L58" s="33" t="e">
        <f t="shared" si="6"/>
        <v>#VALUE!</v>
      </c>
      <c r="M58" s="33" t="e">
        <f t="shared" si="12"/>
        <v>#VALUE!</v>
      </c>
      <c r="N58" s="33" t="e">
        <f t="shared" si="13"/>
        <v>#VALUE!</v>
      </c>
      <c r="O58" s="33" t="e">
        <f t="shared" si="14"/>
        <v>#VALUE!</v>
      </c>
      <c r="P58" s="33" t="e">
        <f t="shared" si="15"/>
        <v>#VALUE!</v>
      </c>
      <c r="Q58" t="e">
        <f t="shared" si="16"/>
        <v>#VALUE!</v>
      </c>
    </row>
    <row r="59" spans="1:17" x14ac:dyDescent="0.15">
      <c r="A59" s="30">
        <v>11848633</v>
      </c>
      <c r="C59" s="42" t="e">
        <f t="shared" si="7"/>
        <v>#VALUE!</v>
      </c>
      <c r="D59" s="42" t="e">
        <f t="shared" si="8"/>
        <v>#VALUE!</v>
      </c>
      <c r="E59" s="49" t="e">
        <f t="shared" si="9"/>
        <v>#VALUE!</v>
      </c>
      <c r="F59" s="30" t="e">
        <f t="shared" si="2"/>
        <v>#VALUE!</v>
      </c>
      <c r="G59" s="49" t="e">
        <f t="shared" si="10"/>
        <v>#VALUE!</v>
      </c>
      <c r="H59" s="30" t="e">
        <f t="shared" si="3"/>
        <v>#VALUE!</v>
      </c>
      <c r="I59" s="30" t="e">
        <f t="shared" si="4"/>
        <v>#VALUE!</v>
      </c>
      <c r="J59" s="30" t="e">
        <f t="shared" si="5"/>
        <v>#VALUE!</v>
      </c>
      <c r="K59" s="33" t="e">
        <f t="shared" si="11"/>
        <v>#VALUE!</v>
      </c>
      <c r="L59" s="33" t="e">
        <f t="shared" si="6"/>
        <v>#VALUE!</v>
      </c>
      <c r="M59" s="33" t="e">
        <f t="shared" si="12"/>
        <v>#VALUE!</v>
      </c>
      <c r="N59" s="33" t="e">
        <f t="shared" si="13"/>
        <v>#VALUE!</v>
      </c>
      <c r="O59" s="33" t="e">
        <f t="shared" si="14"/>
        <v>#VALUE!</v>
      </c>
      <c r="P59" s="33" t="e">
        <f t="shared" si="15"/>
        <v>#VALUE!</v>
      </c>
      <c r="Q59" t="e">
        <f t="shared" si="16"/>
        <v>#VALUE!</v>
      </c>
    </row>
    <row r="60" spans="1:17" x14ac:dyDescent="0.15">
      <c r="A60" s="30">
        <v>97117360</v>
      </c>
      <c r="C60" s="42" t="e">
        <f t="shared" si="7"/>
        <v>#VALUE!</v>
      </c>
      <c r="D60" s="42" t="e">
        <f t="shared" si="8"/>
        <v>#VALUE!</v>
      </c>
      <c r="E60" s="49" t="e">
        <f t="shared" si="9"/>
        <v>#VALUE!</v>
      </c>
      <c r="F60" s="30" t="e">
        <f t="shared" si="2"/>
        <v>#VALUE!</v>
      </c>
      <c r="G60" s="49" t="e">
        <f t="shared" si="10"/>
        <v>#VALUE!</v>
      </c>
      <c r="H60" s="30" t="e">
        <f t="shared" si="3"/>
        <v>#VALUE!</v>
      </c>
      <c r="I60" s="30" t="e">
        <f t="shared" si="4"/>
        <v>#VALUE!</v>
      </c>
      <c r="J60" s="30" t="e">
        <f t="shared" si="5"/>
        <v>#VALUE!</v>
      </c>
      <c r="K60" s="33" t="e">
        <f t="shared" si="11"/>
        <v>#VALUE!</v>
      </c>
      <c r="L60" s="33" t="e">
        <f t="shared" si="6"/>
        <v>#VALUE!</v>
      </c>
      <c r="M60" s="33" t="e">
        <f t="shared" si="12"/>
        <v>#VALUE!</v>
      </c>
      <c r="N60" s="33" t="e">
        <f t="shared" si="13"/>
        <v>#VALUE!</v>
      </c>
      <c r="O60" s="33" t="e">
        <f t="shared" si="14"/>
        <v>#VALUE!</v>
      </c>
      <c r="P60" s="33" t="e">
        <f t="shared" si="15"/>
        <v>#VALUE!</v>
      </c>
      <c r="Q60" t="e">
        <f t="shared" si="16"/>
        <v>#VALUE!</v>
      </c>
    </row>
    <row r="61" spans="1:17" x14ac:dyDescent="0.15">
      <c r="A61" s="30">
        <v>11848064</v>
      </c>
      <c r="C61" s="42" t="e">
        <f t="shared" si="7"/>
        <v>#VALUE!</v>
      </c>
      <c r="D61" s="42" t="e">
        <f t="shared" si="8"/>
        <v>#VALUE!</v>
      </c>
      <c r="E61" s="49" t="e">
        <f t="shared" si="9"/>
        <v>#VALUE!</v>
      </c>
      <c r="F61" s="30" t="e">
        <f t="shared" si="2"/>
        <v>#VALUE!</v>
      </c>
      <c r="G61" s="49" t="e">
        <f t="shared" si="10"/>
        <v>#VALUE!</v>
      </c>
      <c r="H61" s="30" t="e">
        <f t="shared" si="3"/>
        <v>#VALUE!</v>
      </c>
      <c r="I61" s="30" t="e">
        <f t="shared" si="4"/>
        <v>#VALUE!</v>
      </c>
      <c r="J61" s="30" t="e">
        <f t="shared" si="5"/>
        <v>#VALUE!</v>
      </c>
      <c r="K61" s="33" t="e">
        <f t="shared" si="11"/>
        <v>#VALUE!</v>
      </c>
      <c r="L61" s="33" t="e">
        <f t="shared" si="6"/>
        <v>#VALUE!</v>
      </c>
      <c r="M61" s="33" t="e">
        <f t="shared" si="12"/>
        <v>#VALUE!</v>
      </c>
      <c r="N61" s="33" t="e">
        <f t="shared" si="13"/>
        <v>#VALUE!</v>
      </c>
      <c r="O61" s="33" t="e">
        <f t="shared" si="14"/>
        <v>#VALUE!</v>
      </c>
      <c r="P61" s="33" t="e">
        <f t="shared" si="15"/>
        <v>#VALUE!</v>
      </c>
      <c r="Q61" t="e">
        <f t="shared" si="16"/>
        <v>#VALUE!</v>
      </c>
    </row>
    <row r="62" spans="1:17" x14ac:dyDescent="0.15">
      <c r="A62" s="30">
        <v>98129935</v>
      </c>
      <c r="C62" s="42" t="e">
        <f t="shared" si="7"/>
        <v>#VALUE!</v>
      </c>
      <c r="D62" s="42" t="e">
        <f t="shared" si="8"/>
        <v>#VALUE!</v>
      </c>
      <c r="E62" s="49" t="e">
        <f t="shared" si="9"/>
        <v>#VALUE!</v>
      </c>
      <c r="F62" s="30" t="e">
        <f t="shared" si="2"/>
        <v>#VALUE!</v>
      </c>
      <c r="G62" s="49" t="e">
        <f t="shared" si="10"/>
        <v>#VALUE!</v>
      </c>
      <c r="H62" s="30" t="e">
        <f t="shared" si="3"/>
        <v>#VALUE!</v>
      </c>
      <c r="I62" s="30" t="e">
        <f t="shared" si="4"/>
        <v>#VALUE!</v>
      </c>
      <c r="J62" s="30" t="e">
        <f t="shared" si="5"/>
        <v>#VALUE!</v>
      </c>
      <c r="K62" s="33" t="e">
        <f t="shared" si="11"/>
        <v>#VALUE!</v>
      </c>
      <c r="L62" s="33" t="e">
        <f t="shared" si="6"/>
        <v>#VALUE!</v>
      </c>
      <c r="M62" s="33" t="e">
        <f t="shared" si="12"/>
        <v>#VALUE!</v>
      </c>
      <c r="N62" s="33" t="e">
        <f t="shared" si="13"/>
        <v>#VALUE!</v>
      </c>
      <c r="O62" s="33" t="e">
        <f t="shared" si="14"/>
        <v>#VALUE!</v>
      </c>
      <c r="P62" s="33" t="e">
        <f t="shared" si="15"/>
        <v>#VALUE!</v>
      </c>
      <c r="Q62" t="e">
        <f t="shared" si="16"/>
        <v>#VALUE!</v>
      </c>
    </row>
    <row r="63" spans="1:17" x14ac:dyDescent="0.15">
      <c r="A63" s="30">
        <v>97115885</v>
      </c>
      <c r="C63" s="42" t="e">
        <f t="shared" si="7"/>
        <v>#VALUE!</v>
      </c>
      <c r="D63" s="42" t="e">
        <f t="shared" si="8"/>
        <v>#VALUE!</v>
      </c>
      <c r="E63" s="49" t="e">
        <f t="shared" si="9"/>
        <v>#VALUE!</v>
      </c>
      <c r="F63" s="30" t="e">
        <f t="shared" si="2"/>
        <v>#VALUE!</v>
      </c>
      <c r="G63" s="49" t="e">
        <f t="shared" si="10"/>
        <v>#VALUE!</v>
      </c>
      <c r="H63" s="30" t="e">
        <f t="shared" si="3"/>
        <v>#VALUE!</v>
      </c>
      <c r="I63" s="30" t="e">
        <f t="shared" si="4"/>
        <v>#VALUE!</v>
      </c>
      <c r="J63" s="30" t="e">
        <f t="shared" si="5"/>
        <v>#VALUE!</v>
      </c>
      <c r="K63" s="33" t="e">
        <f t="shared" si="11"/>
        <v>#VALUE!</v>
      </c>
      <c r="L63" s="33" t="e">
        <f t="shared" si="6"/>
        <v>#VALUE!</v>
      </c>
      <c r="M63" s="33" t="e">
        <f t="shared" si="12"/>
        <v>#VALUE!</v>
      </c>
      <c r="N63" s="33" t="e">
        <f t="shared" si="13"/>
        <v>#VALUE!</v>
      </c>
      <c r="O63" s="33" t="e">
        <f t="shared" si="14"/>
        <v>#VALUE!</v>
      </c>
      <c r="P63" s="33" t="e">
        <f t="shared" si="15"/>
        <v>#VALUE!</v>
      </c>
      <c r="Q63" t="e">
        <f t="shared" si="16"/>
        <v>#VALUE!</v>
      </c>
    </row>
    <row r="64" spans="1:17" x14ac:dyDescent="0.15">
      <c r="A64" s="30">
        <v>12009179</v>
      </c>
      <c r="C64" s="42" t="e">
        <f t="shared" si="7"/>
        <v>#VALUE!</v>
      </c>
      <c r="D64" s="42" t="e">
        <f t="shared" si="8"/>
        <v>#VALUE!</v>
      </c>
      <c r="E64" s="49" t="e">
        <f t="shared" si="9"/>
        <v>#VALUE!</v>
      </c>
      <c r="F64" s="30" t="e">
        <f t="shared" si="2"/>
        <v>#VALUE!</v>
      </c>
      <c r="G64" s="49" t="e">
        <f t="shared" si="10"/>
        <v>#VALUE!</v>
      </c>
      <c r="H64" s="30" t="e">
        <f t="shared" si="3"/>
        <v>#VALUE!</v>
      </c>
      <c r="I64" s="30" t="e">
        <f t="shared" si="4"/>
        <v>#VALUE!</v>
      </c>
      <c r="J64" s="30" t="e">
        <f t="shared" si="5"/>
        <v>#VALUE!</v>
      </c>
      <c r="K64" s="33" t="e">
        <f t="shared" si="11"/>
        <v>#VALUE!</v>
      </c>
      <c r="L64" s="33" t="e">
        <f t="shared" si="6"/>
        <v>#VALUE!</v>
      </c>
      <c r="M64" s="33" t="e">
        <f t="shared" si="12"/>
        <v>#VALUE!</v>
      </c>
      <c r="N64" s="33" t="e">
        <f t="shared" si="13"/>
        <v>#VALUE!</v>
      </c>
      <c r="O64" s="33" t="e">
        <f t="shared" si="14"/>
        <v>#VALUE!</v>
      </c>
      <c r="P64" s="33" t="e">
        <f t="shared" si="15"/>
        <v>#VALUE!</v>
      </c>
      <c r="Q64" t="e">
        <f t="shared" si="16"/>
        <v>#VALUE!</v>
      </c>
    </row>
    <row r="65" spans="1:17" x14ac:dyDescent="0.15">
      <c r="A65" s="30">
        <v>11119346</v>
      </c>
      <c r="C65" s="42" t="e">
        <f t="shared" si="7"/>
        <v>#VALUE!</v>
      </c>
      <c r="D65" s="42" t="e">
        <f t="shared" si="8"/>
        <v>#VALUE!</v>
      </c>
      <c r="E65" s="49" t="e">
        <f t="shared" si="9"/>
        <v>#VALUE!</v>
      </c>
      <c r="F65" s="30" t="e">
        <f t="shared" si="2"/>
        <v>#VALUE!</v>
      </c>
      <c r="G65" s="49" t="e">
        <f t="shared" si="10"/>
        <v>#VALUE!</v>
      </c>
      <c r="H65" s="30" t="e">
        <f t="shared" si="3"/>
        <v>#VALUE!</v>
      </c>
      <c r="I65" s="30" t="e">
        <f t="shared" si="4"/>
        <v>#VALUE!</v>
      </c>
      <c r="J65" s="30" t="e">
        <f t="shared" si="5"/>
        <v>#VALUE!</v>
      </c>
      <c r="K65" s="33" t="e">
        <f t="shared" si="11"/>
        <v>#VALUE!</v>
      </c>
      <c r="L65" s="33" t="e">
        <f t="shared" si="6"/>
        <v>#VALUE!</v>
      </c>
      <c r="M65" s="33" t="e">
        <f t="shared" si="12"/>
        <v>#VALUE!</v>
      </c>
      <c r="N65" s="33" t="e">
        <f t="shared" si="13"/>
        <v>#VALUE!</v>
      </c>
      <c r="O65" s="33" t="e">
        <f t="shared" si="14"/>
        <v>#VALUE!</v>
      </c>
      <c r="P65" s="33" t="e">
        <f t="shared" si="15"/>
        <v>#VALUE!</v>
      </c>
      <c r="Q65" t="e">
        <f t="shared" si="16"/>
        <v>#VALUE!</v>
      </c>
    </row>
    <row r="66" spans="1:17" x14ac:dyDescent="0.15">
      <c r="A66" s="30">
        <v>98080409</v>
      </c>
      <c r="C66" s="42" t="e">
        <f t="shared" si="7"/>
        <v>#VALUE!</v>
      </c>
      <c r="D66" s="42" t="e">
        <f t="shared" si="8"/>
        <v>#VALUE!</v>
      </c>
      <c r="E66" s="49" t="e">
        <f t="shared" si="9"/>
        <v>#VALUE!</v>
      </c>
      <c r="F66" s="30" t="e">
        <f t="shared" si="2"/>
        <v>#VALUE!</v>
      </c>
      <c r="G66" s="49" t="e">
        <f t="shared" si="10"/>
        <v>#VALUE!</v>
      </c>
      <c r="H66" s="30" t="e">
        <f t="shared" si="3"/>
        <v>#VALUE!</v>
      </c>
      <c r="I66" s="30" t="e">
        <f t="shared" si="4"/>
        <v>#VALUE!</v>
      </c>
      <c r="J66" s="30" t="e">
        <f t="shared" si="5"/>
        <v>#VALUE!</v>
      </c>
      <c r="K66" s="33" t="e">
        <f t="shared" si="11"/>
        <v>#VALUE!</v>
      </c>
      <c r="L66" s="33" t="e">
        <f t="shared" si="6"/>
        <v>#VALUE!</v>
      </c>
      <c r="M66" s="33" t="e">
        <f t="shared" si="12"/>
        <v>#VALUE!</v>
      </c>
      <c r="N66" s="33" t="e">
        <f t="shared" si="13"/>
        <v>#VALUE!</v>
      </c>
      <c r="O66" s="33" t="e">
        <f t="shared" si="14"/>
        <v>#VALUE!</v>
      </c>
      <c r="P66" s="33" t="e">
        <f t="shared" si="15"/>
        <v>#VALUE!</v>
      </c>
      <c r="Q66" t="e">
        <f t="shared" si="16"/>
        <v>#VALUE!</v>
      </c>
    </row>
    <row r="67" spans="1:17" x14ac:dyDescent="0.15">
      <c r="A67" s="30">
        <v>97117143</v>
      </c>
      <c r="C67" s="42" t="e">
        <f t="shared" si="7"/>
        <v>#VALUE!</v>
      </c>
      <c r="D67" s="42" t="e">
        <f t="shared" si="8"/>
        <v>#VALUE!</v>
      </c>
      <c r="E67" s="49" t="e">
        <f t="shared" si="9"/>
        <v>#VALUE!</v>
      </c>
      <c r="F67" s="30" t="e">
        <f t="shared" si="2"/>
        <v>#VALUE!</v>
      </c>
      <c r="G67" s="49" t="e">
        <f t="shared" si="10"/>
        <v>#VALUE!</v>
      </c>
      <c r="H67" s="30" t="e">
        <f t="shared" si="3"/>
        <v>#VALUE!</v>
      </c>
      <c r="I67" s="30" t="e">
        <f t="shared" si="4"/>
        <v>#VALUE!</v>
      </c>
      <c r="J67" s="30" t="e">
        <f t="shared" si="5"/>
        <v>#VALUE!</v>
      </c>
      <c r="K67" s="33" t="e">
        <f t="shared" si="11"/>
        <v>#VALUE!</v>
      </c>
      <c r="L67" s="33" t="e">
        <f t="shared" si="6"/>
        <v>#VALUE!</v>
      </c>
      <c r="M67" s="33" t="e">
        <f t="shared" si="12"/>
        <v>#VALUE!</v>
      </c>
      <c r="N67" s="33" t="e">
        <f t="shared" si="13"/>
        <v>#VALUE!</v>
      </c>
      <c r="O67" s="33" t="e">
        <f t="shared" si="14"/>
        <v>#VALUE!</v>
      </c>
      <c r="P67" s="33" t="e">
        <f t="shared" si="15"/>
        <v>#VALUE!</v>
      </c>
      <c r="Q67" t="e">
        <f t="shared" si="16"/>
        <v>#VALUE!</v>
      </c>
    </row>
    <row r="68" spans="1:17" x14ac:dyDescent="0.15">
      <c r="A68" s="30">
        <v>11428695</v>
      </c>
      <c r="C68" s="42" t="e">
        <f t="shared" si="7"/>
        <v>#VALUE!</v>
      </c>
      <c r="D68" s="42" t="e">
        <f t="shared" si="8"/>
        <v>#VALUE!</v>
      </c>
      <c r="E68" s="49" t="e">
        <f t="shared" si="9"/>
        <v>#VALUE!</v>
      </c>
      <c r="F68" s="30" t="e">
        <f t="shared" ref="F68:F131" si="17">StudentInput(A68,$T$9,$U$9,$V$9,$W$9,$X$9)</f>
        <v>#VALUE!</v>
      </c>
      <c r="G68" s="49" t="e">
        <f t="shared" si="10"/>
        <v>#VALUE!</v>
      </c>
      <c r="H68" s="30" t="e">
        <f t="shared" ref="H68:H131" si="18">StudentInput(A68,$T$11,$U$11,$V$11,$W$11,$X$11)</f>
        <v>#VALUE!</v>
      </c>
      <c r="I68" s="30" t="e">
        <f t="shared" ref="I68:I131" si="19">StudentInput(A68,$T$12,$U$12,$V$12,$W$12,$X$12)</f>
        <v>#VALUE!</v>
      </c>
      <c r="J68" s="30" t="e">
        <f t="shared" ref="J68:J131" si="20">StudentInput(A68,$T$13,$U$13,$V$13,$W$13,$X$13)</f>
        <v>#VALUE!</v>
      </c>
      <c r="K68" s="33" t="e">
        <f t="shared" si="11"/>
        <v>#VALUE!</v>
      </c>
      <c r="L68" s="33" t="e">
        <f t="shared" ref="L68:L131" si="21">(I68*G68*(F68+0.5*G68)+PP*(F68+G68+H68))/(F68+G68)</f>
        <v>#VALUE!</v>
      </c>
      <c r="M68" s="33" t="e">
        <f t="shared" si="12"/>
        <v>#VALUE!</v>
      </c>
      <c r="N68" s="33" t="e">
        <f t="shared" si="13"/>
        <v>#VALUE!</v>
      </c>
      <c r="O68" s="33" t="e">
        <f t="shared" si="14"/>
        <v>#VALUE!</v>
      </c>
      <c r="P68" s="33" t="e">
        <f t="shared" si="15"/>
        <v>#VALUE!</v>
      </c>
      <c r="Q68" t="e">
        <f t="shared" si="16"/>
        <v>#VALUE!</v>
      </c>
    </row>
    <row r="69" spans="1:17" x14ac:dyDescent="0.15">
      <c r="A69" s="30">
        <v>12108522</v>
      </c>
      <c r="C69" s="42" t="e">
        <f t="shared" ref="C69:C132" si="22">E69/F69</f>
        <v>#VALUE!</v>
      </c>
      <c r="D69" s="42" t="e">
        <f t="shared" ref="D69:D132" si="23">G69/F69</f>
        <v>#VALUE!</v>
      </c>
      <c r="E69" s="49" t="e">
        <f t="shared" ref="E69:E132" si="24">ROUND(F69*StudentInput(A69,$T$6,$U$6,$V$6,$W$6,$X$6),1)</f>
        <v>#VALUE!</v>
      </c>
      <c r="F69" s="30" t="e">
        <f t="shared" si="17"/>
        <v>#VALUE!</v>
      </c>
      <c r="G69" s="49" t="e">
        <f t="shared" ref="G69:G132" si="25">ROUND(F69*StudentInput($A69,$T$7,$U$7,$V$7,$W$7,$X$7),1)</f>
        <v>#VALUE!</v>
      </c>
      <c r="H69" s="30" t="e">
        <f t="shared" si="18"/>
        <v>#VALUE!</v>
      </c>
      <c r="I69" s="30" t="e">
        <f t="shared" si="19"/>
        <v>#VALUE!</v>
      </c>
      <c r="J69" s="30" t="e">
        <f t="shared" si="20"/>
        <v>#VALUE!</v>
      </c>
      <c r="K69" s="33" t="e">
        <f t="shared" ref="K69:K132" si="26">(0.5*I69*G69^2-J69*H69)/(E69+F69)</f>
        <v>#VALUE!</v>
      </c>
      <c r="L69" s="33" t="e">
        <f t="shared" si="21"/>
        <v>#VALUE!</v>
      </c>
      <c r="M69" s="33" t="e">
        <f t="shared" ref="M69:M132" si="27">K69*F69/SQRT(F69^2+E69^2)</f>
        <v>#VALUE!</v>
      </c>
      <c r="N69" s="33" t="e">
        <f t="shared" ref="N69:N132" si="28">K69*F69</f>
        <v>#VALUE!</v>
      </c>
      <c r="O69" s="33" t="e">
        <f t="shared" ref="O69:O132" si="29">K69*F69+0.5*K69*K69/I69</f>
        <v>#VALUE!</v>
      </c>
      <c r="P69" s="33" t="e">
        <f t="shared" ref="P69:P132" si="30">K69/I69</f>
        <v>#VALUE!</v>
      </c>
      <c r="Q69" t="e">
        <f t="shared" ref="Q69:Q132" si="31">(P69&lt;F69)</f>
        <v>#VALUE!</v>
      </c>
    </row>
    <row r="70" spans="1:17" x14ac:dyDescent="0.15">
      <c r="A70" s="30">
        <v>11225226</v>
      </c>
      <c r="C70" s="42" t="e">
        <f t="shared" si="22"/>
        <v>#VALUE!</v>
      </c>
      <c r="D70" s="42" t="e">
        <f t="shared" si="23"/>
        <v>#VALUE!</v>
      </c>
      <c r="E70" s="49" t="e">
        <f t="shared" si="24"/>
        <v>#VALUE!</v>
      </c>
      <c r="F70" s="30" t="e">
        <f t="shared" si="17"/>
        <v>#VALUE!</v>
      </c>
      <c r="G70" s="49" t="e">
        <f t="shared" si="25"/>
        <v>#VALUE!</v>
      </c>
      <c r="H70" s="30" t="e">
        <f t="shared" si="18"/>
        <v>#VALUE!</v>
      </c>
      <c r="I70" s="30" t="e">
        <f t="shared" si="19"/>
        <v>#VALUE!</v>
      </c>
      <c r="J70" s="30" t="e">
        <f t="shared" si="20"/>
        <v>#VALUE!</v>
      </c>
      <c r="K70" s="33" t="e">
        <f t="shared" si="26"/>
        <v>#VALUE!</v>
      </c>
      <c r="L70" s="33" t="e">
        <f t="shared" si="21"/>
        <v>#VALUE!</v>
      </c>
      <c r="M70" s="33" t="e">
        <f t="shared" si="27"/>
        <v>#VALUE!</v>
      </c>
      <c r="N70" s="33" t="e">
        <f t="shared" si="28"/>
        <v>#VALUE!</v>
      </c>
      <c r="O70" s="33" t="e">
        <f t="shared" si="29"/>
        <v>#VALUE!</v>
      </c>
      <c r="P70" s="33" t="e">
        <f t="shared" si="30"/>
        <v>#VALUE!</v>
      </c>
      <c r="Q70" t="e">
        <f t="shared" si="31"/>
        <v>#VALUE!</v>
      </c>
    </row>
    <row r="71" spans="1:17" x14ac:dyDescent="0.15">
      <c r="A71" s="30">
        <v>11934015</v>
      </c>
      <c r="C71" s="42" t="e">
        <f t="shared" si="22"/>
        <v>#VALUE!</v>
      </c>
      <c r="D71" s="42" t="e">
        <f t="shared" si="23"/>
        <v>#VALUE!</v>
      </c>
      <c r="E71" s="49" t="e">
        <f t="shared" si="24"/>
        <v>#VALUE!</v>
      </c>
      <c r="F71" s="30" t="e">
        <f t="shared" si="17"/>
        <v>#VALUE!</v>
      </c>
      <c r="G71" s="49" t="e">
        <f t="shared" si="25"/>
        <v>#VALUE!</v>
      </c>
      <c r="H71" s="30" t="e">
        <f t="shared" si="18"/>
        <v>#VALUE!</v>
      </c>
      <c r="I71" s="30" t="e">
        <f t="shared" si="19"/>
        <v>#VALUE!</v>
      </c>
      <c r="J71" s="30" t="e">
        <f t="shared" si="20"/>
        <v>#VALUE!</v>
      </c>
      <c r="K71" s="33" t="e">
        <f t="shared" si="26"/>
        <v>#VALUE!</v>
      </c>
      <c r="L71" s="33" t="e">
        <f t="shared" si="21"/>
        <v>#VALUE!</v>
      </c>
      <c r="M71" s="33" t="e">
        <f t="shared" si="27"/>
        <v>#VALUE!</v>
      </c>
      <c r="N71" s="33" t="e">
        <f t="shared" si="28"/>
        <v>#VALUE!</v>
      </c>
      <c r="O71" s="33" t="e">
        <f t="shared" si="29"/>
        <v>#VALUE!</v>
      </c>
      <c r="P71" s="33" t="e">
        <f t="shared" si="30"/>
        <v>#VALUE!</v>
      </c>
      <c r="Q71" t="e">
        <f t="shared" si="31"/>
        <v>#VALUE!</v>
      </c>
    </row>
    <row r="72" spans="1:17" x14ac:dyDescent="0.15">
      <c r="A72" s="30">
        <v>12104891</v>
      </c>
      <c r="C72" s="42" t="e">
        <f t="shared" si="22"/>
        <v>#VALUE!</v>
      </c>
      <c r="D72" s="42" t="e">
        <f t="shared" si="23"/>
        <v>#VALUE!</v>
      </c>
      <c r="E72" s="49" t="e">
        <f t="shared" si="24"/>
        <v>#VALUE!</v>
      </c>
      <c r="F72" s="30" t="e">
        <f t="shared" si="17"/>
        <v>#VALUE!</v>
      </c>
      <c r="G72" s="49" t="e">
        <f t="shared" si="25"/>
        <v>#VALUE!</v>
      </c>
      <c r="H72" s="30" t="e">
        <f t="shared" si="18"/>
        <v>#VALUE!</v>
      </c>
      <c r="I72" s="30" t="e">
        <f t="shared" si="19"/>
        <v>#VALUE!</v>
      </c>
      <c r="J72" s="30" t="e">
        <f t="shared" si="20"/>
        <v>#VALUE!</v>
      </c>
      <c r="K72" s="33" t="e">
        <f t="shared" si="26"/>
        <v>#VALUE!</v>
      </c>
      <c r="L72" s="33" t="e">
        <f t="shared" si="21"/>
        <v>#VALUE!</v>
      </c>
      <c r="M72" s="33" t="e">
        <f t="shared" si="27"/>
        <v>#VALUE!</v>
      </c>
      <c r="N72" s="33" t="e">
        <f t="shared" si="28"/>
        <v>#VALUE!</v>
      </c>
      <c r="O72" s="33" t="e">
        <f t="shared" si="29"/>
        <v>#VALUE!</v>
      </c>
      <c r="P72" s="33" t="e">
        <f t="shared" si="30"/>
        <v>#VALUE!</v>
      </c>
      <c r="Q72" t="e">
        <f t="shared" si="31"/>
        <v>#VALUE!</v>
      </c>
    </row>
    <row r="73" spans="1:17" x14ac:dyDescent="0.15">
      <c r="A73" s="30">
        <v>11687302</v>
      </c>
      <c r="C73" s="42" t="e">
        <f t="shared" si="22"/>
        <v>#VALUE!</v>
      </c>
      <c r="D73" s="42" t="e">
        <f t="shared" si="23"/>
        <v>#VALUE!</v>
      </c>
      <c r="E73" s="49" t="e">
        <f t="shared" si="24"/>
        <v>#VALUE!</v>
      </c>
      <c r="F73" s="30" t="e">
        <f t="shared" si="17"/>
        <v>#VALUE!</v>
      </c>
      <c r="G73" s="49" t="e">
        <f t="shared" si="25"/>
        <v>#VALUE!</v>
      </c>
      <c r="H73" s="30" t="e">
        <f t="shared" si="18"/>
        <v>#VALUE!</v>
      </c>
      <c r="I73" s="30" t="e">
        <f t="shared" si="19"/>
        <v>#VALUE!</v>
      </c>
      <c r="J73" s="30" t="e">
        <f t="shared" si="20"/>
        <v>#VALUE!</v>
      </c>
      <c r="K73" s="33" t="e">
        <f t="shared" si="26"/>
        <v>#VALUE!</v>
      </c>
      <c r="L73" s="33" t="e">
        <f t="shared" si="21"/>
        <v>#VALUE!</v>
      </c>
      <c r="M73" s="33" t="e">
        <f t="shared" si="27"/>
        <v>#VALUE!</v>
      </c>
      <c r="N73" s="33" t="e">
        <f t="shared" si="28"/>
        <v>#VALUE!</v>
      </c>
      <c r="O73" s="33" t="e">
        <f t="shared" si="29"/>
        <v>#VALUE!</v>
      </c>
      <c r="P73" s="33" t="e">
        <f t="shared" si="30"/>
        <v>#VALUE!</v>
      </c>
      <c r="Q73" t="e">
        <f t="shared" si="31"/>
        <v>#VALUE!</v>
      </c>
    </row>
    <row r="74" spans="1:17" x14ac:dyDescent="0.15">
      <c r="A74" s="30">
        <v>11378965</v>
      </c>
      <c r="C74" s="42" t="e">
        <f t="shared" si="22"/>
        <v>#VALUE!</v>
      </c>
      <c r="D74" s="42" t="e">
        <f t="shared" si="23"/>
        <v>#VALUE!</v>
      </c>
      <c r="E74" s="49" t="e">
        <f t="shared" si="24"/>
        <v>#VALUE!</v>
      </c>
      <c r="F74" s="30" t="e">
        <f t="shared" si="17"/>
        <v>#VALUE!</v>
      </c>
      <c r="G74" s="49" t="e">
        <f t="shared" si="25"/>
        <v>#VALUE!</v>
      </c>
      <c r="H74" s="30" t="e">
        <f t="shared" si="18"/>
        <v>#VALUE!</v>
      </c>
      <c r="I74" s="30" t="e">
        <f t="shared" si="19"/>
        <v>#VALUE!</v>
      </c>
      <c r="J74" s="30" t="e">
        <f t="shared" si="20"/>
        <v>#VALUE!</v>
      </c>
      <c r="K74" s="33" t="e">
        <f t="shared" si="26"/>
        <v>#VALUE!</v>
      </c>
      <c r="L74" s="33" t="e">
        <f t="shared" si="21"/>
        <v>#VALUE!</v>
      </c>
      <c r="M74" s="33" t="e">
        <f t="shared" si="27"/>
        <v>#VALUE!</v>
      </c>
      <c r="N74" s="33" t="e">
        <f t="shared" si="28"/>
        <v>#VALUE!</v>
      </c>
      <c r="O74" s="33" t="e">
        <f t="shared" si="29"/>
        <v>#VALUE!</v>
      </c>
      <c r="P74" s="33" t="e">
        <f t="shared" si="30"/>
        <v>#VALUE!</v>
      </c>
      <c r="Q74" t="e">
        <f t="shared" si="31"/>
        <v>#VALUE!</v>
      </c>
    </row>
    <row r="75" spans="1:17" x14ac:dyDescent="0.15">
      <c r="A75" s="30">
        <v>11927302</v>
      </c>
      <c r="C75" s="42" t="e">
        <f t="shared" si="22"/>
        <v>#VALUE!</v>
      </c>
      <c r="D75" s="42" t="e">
        <f t="shared" si="23"/>
        <v>#VALUE!</v>
      </c>
      <c r="E75" s="49" t="e">
        <f t="shared" si="24"/>
        <v>#VALUE!</v>
      </c>
      <c r="F75" s="30" t="e">
        <f t="shared" si="17"/>
        <v>#VALUE!</v>
      </c>
      <c r="G75" s="49" t="e">
        <f t="shared" si="25"/>
        <v>#VALUE!</v>
      </c>
      <c r="H75" s="30" t="e">
        <f t="shared" si="18"/>
        <v>#VALUE!</v>
      </c>
      <c r="I75" s="30" t="e">
        <f t="shared" si="19"/>
        <v>#VALUE!</v>
      </c>
      <c r="J75" s="30" t="e">
        <f t="shared" si="20"/>
        <v>#VALUE!</v>
      </c>
      <c r="K75" s="33" t="e">
        <f t="shared" si="26"/>
        <v>#VALUE!</v>
      </c>
      <c r="L75" s="33" t="e">
        <f t="shared" si="21"/>
        <v>#VALUE!</v>
      </c>
      <c r="M75" s="33" t="e">
        <f t="shared" si="27"/>
        <v>#VALUE!</v>
      </c>
      <c r="N75" s="33" t="e">
        <f t="shared" si="28"/>
        <v>#VALUE!</v>
      </c>
      <c r="O75" s="33" t="e">
        <f t="shared" si="29"/>
        <v>#VALUE!</v>
      </c>
      <c r="P75" s="33" t="e">
        <f t="shared" si="30"/>
        <v>#VALUE!</v>
      </c>
      <c r="Q75" t="e">
        <f t="shared" si="31"/>
        <v>#VALUE!</v>
      </c>
    </row>
    <row r="76" spans="1:17" x14ac:dyDescent="0.15">
      <c r="A76" s="30">
        <v>12211482</v>
      </c>
      <c r="C76" s="42" t="e">
        <f t="shared" si="22"/>
        <v>#VALUE!</v>
      </c>
      <c r="D76" s="42" t="e">
        <f t="shared" si="23"/>
        <v>#VALUE!</v>
      </c>
      <c r="E76" s="49" t="e">
        <f t="shared" si="24"/>
        <v>#VALUE!</v>
      </c>
      <c r="F76" s="30" t="e">
        <f t="shared" si="17"/>
        <v>#VALUE!</v>
      </c>
      <c r="G76" s="49" t="e">
        <f t="shared" si="25"/>
        <v>#VALUE!</v>
      </c>
      <c r="H76" s="30" t="e">
        <f t="shared" si="18"/>
        <v>#VALUE!</v>
      </c>
      <c r="I76" s="30" t="e">
        <f t="shared" si="19"/>
        <v>#VALUE!</v>
      </c>
      <c r="J76" s="30" t="e">
        <f t="shared" si="20"/>
        <v>#VALUE!</v>
      </c>
      <c r="K76" s="33" t="e">
        <f t="shared" si="26"/>
        <v>#VALUE!</v>
      </c>
      <c r="L76" s="33" t="e">
        <f t="shared" si="21"/>
        <v>#VALUE!</v>
      </c>
      <c r="M76" s="33" t="e">
        <f t="shared" si="27"/>
        <v>#VALUE!</v>
      </c>
      <c r="N76" s="33" t="e">
        <f t="shared" si="28"/>
        <v>#VALUE!</v>
      </c>
      <c r="O76" s="33" t="e">
        <f t="shared" si="29"/>
        <v>#VALUE!</v>
      </c>
      <c r="P76" s="33" t="e">
        <f t="shared" si="30"/>
        <v>#VALUE!</v>
      </c>
      <c r="Q76" t="e">
        <f t="shared" si="31"/>
        <v>#VALUE!</v>
      </c>
    </row>
    <row r="77" spans="1:17" x14ac:dyDescent="0.15">
      <c r="A77" s="30">
        <v>99145447</v>
      </c>
      <c r="C77" s="42" t="e">
        <f t="shared" si="22"/>
        <v>#VALUE!</v>
      </c>
      <c r="D77" s="42" t="e">
        <f t="shared" si="23"/>
        <v>#VALUE!</v>
      </c>
      <c r="E77" s="49" t="e">
        <f t="shared" si="24"/>
        <v>#VALUE!</v>
      </c>
      <c r="F77" s="30" t="e">
        <f t="shared" si="17"/>
        <v>#VALUE!</v>
      </c>
      <c r="G77" s="49" t="e">
        <f t="shared" si="25"/>
        <v>#VALUE!</v>
      </c>
      <c r="H77" s="30" t="e">
        <f t="shared" si="18"/>
        <v>#VALUE!</v>
      </c>
      <c r="I77" s="30" t="e">
        <f t="shared" si="19"/>
        <v>#VALUE!</v>
      </c>
      <c r="J77" s="30" t="e">
        <f t="shared" si="20"/>
        <v>#VALUE!</v>
      </c>
      <c r="K77" s="33" t="e">
        <f t="shared" si="26"/>
        <v>#VALUE!</v>
      </c>
      <c r="L77" s="33" t="e">
        <f t="shared" si="21"/>
        <v>#VALUE!</v>
      </c>
      <c r="M77" s="33" t="e">
        <f t="shared" si="27"/>
        <v>#VALUE!</v>
      </c>
      <c r="N77" s="33" t="e">
        <f t="shared" si="28"/>
        <v>#VALUE!</v>
      </c>
      <c r="O77" s="33" t="e">
        <f t="shared" si="29"/>
        <v>#VALUE!</v>
      </c>
      <c r="P77" s="33" t="e">
        <f t="shared" si="30"/>
        <v>#VALUE!</v>
      </c>
      <c r="Q77" t="e">
        <f t="shared" si="31"/>
        <v>#VALUE!</v>
      </c>
    </row>
    <row r="78" spans="1:17" x14ac:dyDescent="0.15">
      <c r="A78" s="30">
        <v>12600728</v>
      </c>
      <c r="C78" s="42" t="e">
        <f t="shared" si="22"/>
        <v>#VALUE!</v>
      </c>
      <c r="D78" s="42" t="e">
        <f t="shared" si="23"/>
        <v>#VALUE!</v>
      </c>
      <c r="E78" s="49" t="e">
        <f t="shared" si="24"/>
        <v>#VALUE!</v>
      </c>
      <c r="F78" s="30" t="e">
        <f t="shared" si="17"/>
        <v>#VALUE!</v>
      </c>
      <c r="G78" s="49" t="e">
        <f t="shared" si="25"/>
        <v>#VALUE!</v>
      </c>
      <c r="H78" s="30" t="e">
        <f t="shared" si="18"/>
        <v>#VALUE!</v>
      </c>
      <c r="I78" s="30" t="e">
        <f t="shared" si="19"/>
        <v>#VALUE!</v>
      </c>
      <c r="J78" s="30" t="e">
        <f t="shared" si="20"/>
        <v>#VALUE!</v>
      </c>
      <c r="K78" s="33" t="e">
        <f t="shared" si="26"/>
        <v>#VALUE!</v>
      </c>
      <c r="L78" s="33" t="e">
        <f t="shared" si="21"/>
        <v>#VALUE!</v>
      </c>
      <c r="M78" s="33" t="e">
        <f t="shared" si="27"/>
        <v>#VALUE!</v>
      </c>
      <c r="N78" s="33" t="e">
        <f t="shared" si="28"/>
        <v>#VALUE!</v>
      </c>
      <c r="O78" s="33" t="e">
        <f t="shared" si="29"/>
        <v>#VALUE!</v>
      </c>
      <c r="P78" s="33" t="e">
        <f t="shared" si="30"/>
        <v>#VALUE!</v>
      </c>
      <c r="Q78" t="e">
        <f t="shared" si="31"/>
        <v>#VALUE!</v>
      </c>
    </row>
    <row r="79" spans="1:17" x14ac:dyDescent="0.15">
      <c r="A79" s="30">
        <v>11381124</v>
      </c>
      <c r="C79" s="42" t="e">
        <f t="shared" si="22"/>
        <v>#VALUE!</v>
      </c>
      <c r="D79" s="42" t="e">
        <f t="shared" si="23"/>
        <v>#VALUE!</v>
      </c>
      <c r="E79" s="49" t="e">
        <f t="shared" si="24"/>
        <v>#VALUE!</v>
      </c>
      <c r="F79" s="30" t="e">
        <f t="shared" si="17"/>
        <v>#VALUE!</v>
      </c>
      <c r="G79" s="49" t="e">
        <f t="shared" si="25"/>
        <v>#VALUE!</v>
      </c>
      <c r="H79" s="30" t="e">
        <f t="shared" si="18"/>
        <v>#VALUE!</v>
      </c>
      <c r="I79" s="30" t="e">
        <f t="shared" si="19"/>
        <v>#VALUE!</v>
      </c>
      <c r="J79" s="30" t="e">
        <f t="shared" si="20"/>
        <v>#VALUE!</v>
      </c>
      <c r="K79" s="33" t="e">
        <f t="shared" si="26"/>
        <v>#VALUE!</v>
      </c>
      <c r="L79" s="33" t="e">
        <f t="shared" si="21"/>
        <v>#VALUE!</v>
      </c>
      <c r="M79" s="33" t="e">
        <f t="shared" si="27"/>
        <v>#VALUE!</v>
      </c>
      <c r="N79" s="33" t="e">
        <f t="shared" si="28"/>
        <v>#VALUE!</v>
      </c>
      <c r="O79" s="33" t="e">
        <f t="shared" si="29"/>
        <v>#VALUE!</v>
      </c>
      <c r="P79" s="33" t="e">
        <f t="shared" si="30"/>
        <v>#VALUE!</v>
      </c>
      <c r="Q79" t="e">
        <f t="shared" si="31"/>
        <v>#VALUE!</v>
      </c>
    </row>
    <row r="80" spans="1:17" x14ac:dyDescent="0.15">
      <c r="A80" s="30">
        <v>12199788</v>
      </c>
      <c r="C80" s="42" t="e">
        <f t="shared" si="22"/>
        <v>#VALUE!</v>
      </c>
      <c r="D80" s="42" t="e">
        <f t="shared" si="23"/>
        <v>#VALUE!</v>
      </c>
      <c r="E80" s="49" t="e">
        <f t="shared" si="24"/>
        <v>#VALUE!</v>
      </c>
      <c r="F80" s="30" t="e">
        <f t="shared" si="17"/>
        <v>#VALUE!</v>
      </c>
      <c r="G80" s="49" t="e">
        <f t="shared" si="25"/>
        <v>#VALUE!</v>
      </c>
      <c r="H80" s="30" t="e">
        <f t="shared" si="18"/>
        <v>#VALUE!</v>
      </c>
      <c r="I80" s="30" t="e">
        <f t="shared" si="19"/>
        <v>#VALUE!</v>
      </c>
      <c r="J80" s="30" t="e">
        <f t="shared" si="20"/>
        <v>#VALUE!</v>
      </c>
      <c r="K80" s="33" t="e">
        <f t="shared" si="26"/>
        <v>#VALUE!</v>
      </c>
      <c r="L80" s="33" t="e">
        <f t="shared" si="21"/>
        <v>#VALUE!</v>
      </c>
      <c r="M80" s="33" t="e">
        <f t="shared" si="27"/>
        <v>#VALUE!</v>
      </c>
      <c r="N80" s="33" t="e">
        <f t="shared" si="28"/>
        <v>#VALUE!</v>
      </c>
      <c r="O80" s="33" t="e">
        <f t="shared" si="29"/>
        <v>#VALUE!</v>
      </c>
      <c r="P80" s="33" t="e">
        <f t="shared" si="30"/>
        <v>#VALUE!</v>
      </c>
      <c r="Q80" t="e">
        <f t="shared" si="31"/>
        <v>#VALUE!</v>
      </c>
    </row>
    <row r="81" spans="1:17" x14ac:dyDescent="0.15">
      <c r="A81" s="30">
        <v>11818527</v>
      </c>
      <c r="C81" s="42" t="e">
        <f t="shared" si="22"/>
        <v>#VALUE!</v>
      </c>
      <c r="D81" s="42" t="e">
        <f t="shared" si="23"/>
        <v>#VALUE!</v>
      </c>
      <c r="E81" s="49" t="e">
        <f t="shared" si="24"/>
        <v>#VALUE!</v>
      </c>
      <c r="F81" s="30" t="e">
        <f t="shared" si="17"/>
        <v>#VALUE!</v>
      </c>
      <c r="G81" s="49" t="e">
        <f t="shared" si="25"/>
        <v>#VALUE!</v>
      </c>
      <c r="H81" s="30" t="e">
        <f t="shared" si="18"/>
        <v>#VALUE!</v>
      </c>
      <c r="I81" s="30" t="e">
        <f t="shared" si="19"/>
        <v>#VALUE!</v>
      </c>
      <c r="J81" s="30" t="e">
        <f t="shared" si="20"/>
        <v>#VALUE!</v>
      </c>
      <c r="K81" s="33" t="e">
        <f t="shared" si="26"/>
        <v>#VALUE!</v>
      </c>
      <c r="L81" s="33" t="e">
        <f t="shared" si="21"/>
        <v>#VALUE!</v>
      </c>
      <c r="M81" s="33" t="e">
        <f t="shared" si="27"/>
        <v>#VALUE!</v>
      </c>
      <c r="N81" s="33" t="e">
        <f t="shared" si="28"/>
        <v>#VALUE!</v>
      </c>
      <c r="O81" s="33" t="e">
        <f t="shared" si="29"/>
        <v>#VALUE!</v>
      </c>
      <c r="P81" s="33" t="e">
        <f t="shared" si="30"/>
        <v>#VALUE!</v>
      </c>
      <c r="Q81" t="e">
        <f t="shared" si="31"/>
        <v>#VALUE!</v>
      </c>
    </row>
    <row r="82" spans="1:17" x14ac:dyDescent="0.15">
      <c r="A82" s="30">
        <v>99137109</v>
      </c>
      <c r="C82" s="42" t="e">
        <f t="shared" si="22"/>
        <v>#VALUE!</v>
      </c>
      <c r="D82" s="42" t="e">
        <f t="shared" si="23"/>
        <v>#VALUE!</v>
      </c>
      <c r="E82" s="49" t="e">
        <f t="shared" si="24"/>
        <v>#VALUE!</v>
      </c>
      <c r="F82" s="30" t="e">
        <f t="shared" si="17"/>
        <v>#VALUE!</v>
      </c>
      <c r="G82" s="49" t="e">
        <f t="shared" si="25"/>
        <v>#VALUE!</v>
      </c>
      <c r="H82" s="30" t="e">
        <f t="shared" si="18"/>
        <v>#VALUE!</v>
      </c>
      <c r="I82" s="30" t="e">
        <f t="shared" si="19"/>
        <v>#VALUE!</v>
      </c>
      <c r="J82" s="30" t="e">
        <f t="shared" si="20"/>
        <v>#VALUE!</v>
      </c>
      <c r="K82" s="33" t="e">
        <f t="shared" si="26"/>
        <v>#VALUE!</v>
      </c>
      <c r="L82" s="33" t="e">
        <f t="shared" si="21"/>
        <v>#VALUE!</v>
      </c>
      <c r="M82" s="33" t="e">
        <f t="shared" si="27"/>
        <v>#VALUE!</v>
      </c>
      <c r="N82" s="33" t="e">
        <f t="shared" si="28"/>
        <v>#VALUE!</v>
      </c>
      <c r="O82" s="33" t="e">
        <f t="shared" si="29"/>
        <v>#VALUE!</v>
      </c>
      <c r="P82" s="33" t="e">
        <f t="shared" si="30"/>
        <v>#VALUE!</v>
      </c>
      <c r="Q82" t="e">
        <f t="shared" si="31"/>
        <v>#VALUE!</v>
      </c>
    </row>
    <row r="83" spans="1:17" x14ac:dyDescent="0.15">
      <c r="A83" s="30">
        <v>11466950</v>
      </c>
      <c r="C83" s="42" t="e">
        <f t="shared" si="22"/>
        <v>#VALUE!</v>
      </c>
      <c r="D83" s="42" t="e">
        <f t="shared" si="23"/>
        <v>#VALUE!</v>
      </c>
      <c r="E83" s="49" t="e">
        <f t="shared" si="24"/>
        <v>#VALUE!</v>
      </c>
      <c r="F83" s="30" t="e">
        <f t="shared" si="17"/>
        <v>#VALUE!</v>
      </c>
      <c r="G83" s="49" t="e">
        <f t="shared" si="25"/>
        <v>#VALUE!</v>
      </c>
      <c r="H83" s="30" t="e">
        <f t="shared" si="18"/>
        <v>#VALUE!</v>
      </c>
      <c r="I83" s="30" t="e">
        <f t="shared" si="19"/>
        <v>#VALUE!</v>
      </c>
      <c r="J83" s="30" t="e">
        <f t="shared" si="20"/>
        <v>#VALUE!</v>
      </c>
      <c r="K83" s="33" t="e">
        <f t="shared" si="26"/>
        <v>#VALUE!</v>
      </c>
      <c r="L83" s="33" t="e">
        <f t="shared" si="21"/>
        <v>#VALUE!</v>
      </c>
      <c r="M83" s="33" t="e">
        <f t="shared" si="27"/>
        <v>#VALUE!</v>
      </c>
      <c r="N83" s="33" t="e">
        <f t="shared" si="28"/>
        <v>#VALUE!</v>
      </c>
      <c r="O83" s="33" t="e">
        <f t="shared" si="29"/>
        <v>#VALUE!</v>
      </c>
      <c r="P83" s="33" t="e">
        <f t="shared" si="30"/>
        <v>#VALUE!</v>
      </c>
      <c r="Q83" t="e">
        <f t="shared" si="31"/>
        <v>#VALUE!</v>
      </c>
    </row>
    <row r="84" spans="1:17" x14ac:dyDescent="0.15">
      <c r="A84" s="30">
        <v>97116711</v>
      </c>
      <c r="C84" s="42" t="e">
        <f t="shared" si="22"/>
        <v>#VALUE!</v>
      </c>
      <c r="D84" s="42" t="e">
        <f t="shared" si="23"/>
        <v>#VALUE!</v>
      </c>
      <c r="E84" s="49" t="e">
        <f t="shared" si="24"/>
        <v>#VALUE!</v>
      </c>
      <c r="F84" s="30" t="e">
        <f t="shared" si="17"/>
        <v>#VALUE!</v>
      </c>
      <c r="G84" s="49" t="e">
        <f t="shared" si="25"/>
        <v>#VALUE!</v>
      </c>
      <c r="H84" s="30" t="e">
        <f t="shared" si="18"/>
        <v>#VALUE!</v>
      </c>
      <c r="I84" s="30" t="e">
        <f t="shared" si="19"/>
        <v>#VALUE!</v>
      </c>
      <c r="J84" s="30" t="e">
        <f t="shared" si="20"/>
        <v>#VALUE!</v>
      </c>
      <c r="K84" s="33" t="e">
        <f t="shared" si="26"/>
        <v>#VALUE!</v>
      </c>
      <c r="L84" s="33" t="e">
        <f t="shared" si="21"/>
        <v>#VALUE!</v>
      </c>
      <c r="M84" s="33" t="e">
        <f t="shared" si="27"/>
        <v>#VALUE!</v>
      </c>
      <c r="N84" s="33" t="e">
        <f t="shared" si="28"/>
        <v>#VALUE!</v>
      </c>
      <c r="O84" s="33" t="e">
        <f t="shared" si="29"/>
        <v>#VALUE!</v>
      </c>
      <c r="P84" s="33" t="e">
        <f t="shared" si="30"/>
        <v>#VALUE!</v>
      </c>
      <c r="Q84" t="e">
        <f t="shared" si="31"/>
        <v>#VALUE!</v>
      </c>
    </row>
    <row r="85" spans="1:17" x14ac:dyDescent="0.15">
      <c r="A85" s="30">
        <v>11918303</v>
      </c>
      <c r="C85" s="42" t="e">
        <f t="shared" si="22"/>
        <v>#VALUE!</v>
      </c>
      <c r="D85" s="42" t="e">
        <f t="shared" si="23"/>
        <v>#VALUE!</v>
      </c>
      <c r="E85" s="49" t="e">
        <f t="shared" si="24"/>
        <v>#VALUE!</v>
      </c>
      <c r="F85" s="30" t="e">
        <f t="shared" si="17"/>
        <v>#VALUE!</v>
      </c>
      <c r="G85" s="49" t="e">
        <f t="shared" si="25"/>
        <v>#VALUE!</v>
      </c>
      <c r="H85" s="30" t="e">
        <f t="shared" si="18"/>
        <v>#VALUE!</v>
      </c>
      <c r="I85" s="30" t="e">
        <f t="shared" si="19"/>
        <v>#VALUE!</v>
      </c>
      <c r="J85" s="30" t="e">
        <f t="shared" si="20"/>
        <v>#VALUE!</v>
      </c>
      <c r="K85" s="33" t="e">
        <f t="shared" si="26"/>
        <v>#VALUE!</v>
      </c>
      <c r="L85" s="33" t="e">
        <f t="shared" si="21"/>
        <v>#VALUE!</v>
      </c>
      <c r="M85" s="33" t="e">
        <f t="shared" si="27"/>
        <v>#VALUE!</v>
      </c>
      <c r="N85" s="33" t="e">
        <f t="shared" si="28"/>
        <v>#VALUE!</v>
      </c>
      <c r="O85" s="33" t="e">
        <f t="shared" si="29"/>
        <v>#VALUE!</v>
      </c>
      <c r="P85" s="33" t="e">
        <f t="shared" si="30"/>
        <v>#VALUE!</v>
      </c>
      <c r="Q85" t="e">
        <f t="shared" si="31"/>
        <v>#VALUE!</v>
      </c>
    </row>
    <row r="86" spans="1:17" x14ac:dyDescent="0.15">
      <c r="A86" s="30">
        <v>12019269</v>
      </c>
      <c r="C86" s="42" t="e">
        <f t="shared" si="22"/>
        <v>#VALUE!</v>
      </c>
      <c r="D86" s="42" t="e">
        <f t="shared" si="23"/>
        <v>#VALUE!</v>
      </c>
      <c r="E86" s="49" t="e">
        <f t="shared" si="24"/>
        <v>#VALUE!</v>
      </c>
      <c r="F86" s="30" t="e">
        <f t="shared" si="17"/>
        <v>#VALUE!</v>
      </c>
      <c r="G86" s="49" t="e">
        <f t="shared" si="25"/>
        <v>#VALUE!</v>
      </c>
      <c r="H86" s="30" t="e">
        <f t="shared" si="18"/>
        <v>#VALUE!</v>
      </c>
      <c r="I86" s="30" t="e">
        <f t="shared" si="19"/>
        <v>#VALUE!</v>
      </c>
      <c r="J86" s="30" t="e">
        <f t="shared" si="20"/>
        <v>#VALUE!</v>
      </c>
      <c r="K86" s="33" t="e">
        <f t="shared" si="26"/>
        <v>#VALUE!</v>
      </c>
      <c r="L86" s="33" t="e">
        <f t="shared" si="21"/>
        <v>#VALUE!</v>
      </c>
      <c r="M86" s="33" t="e">
        <f t="shared" si="27"/>
        <v>#VALUE!</v>
      </c>
      <c r="N86" s="33" t="e">
        <f t="shared" si="28"/>
        <v>#VALUE!</v>
      </c>
      <c r="O86" s="33" t="e">
        <f t="shared" si="29"/>
        <v>#VALUE!</v>
      </c>
      <c r="P86" s="33" t="e">
        <f t="shared" si="30"/>
        <v>#VALUE!</v>
      </c>
      <c r="Q86" t="e">
        <f t="shared" si="31"/>
        <v>#VALUE!</v>
      </c>
    </row>
    <row r="87" spans="1:17" x14ac:dyDescent="0.15">
      <c r="A87" s="30">
        <v>12930297</v>
      </c>
      <c r="C87" s="42" t="e">
        <f t="shared" si="22"/>
        <v>#VALUE!</v>
      </c>
      <c r="D87" s="42" t="e">
        <f t="shared" si="23"/>
        <v>#VALUE!</v>
      </c>
      <c r="E87" s="49" t="e">
        <f t="shared" si="24"/>
        <v>#VALUE!</v>
      </c>
      <c r="F87" s="30" t="e">
        <f t="shared" si="17"/>
        <v>#VALUE!</v>
      </c>
      <c r="G87" s="49" t="e">
        <f t="shared" si="25"/>
        <v>#VALUE!</v>
      </c>
      <c r="H87" s="30" t="e">
        <f t="shared" si="18"/>
        <v>#VALUE!</v>
      </c>
      <c r="I87" s="30" t="e">
        <f t="shared" si="19"/>
        <v>#VALUE!</v>
      </c>
      <c r="J87" s="30" t="e">
        <f t="shared" si="20"/>
        <v>#VALUE!</v>
      </c>
      <c r="K87" s="33" t="e">
        <f t="shared" si="26"/>
        <v>#VALUE!</v>
      </c>
      <c r="L87" s="33" t="e">
        <f t="shared" si="21"/>
        <v>#VALUE!</v>
      </c>
      <c r="M87" s="33" t="e">
        <f t="shared" si="27"/>
        <v>#VALUE!</v>
      </c>
      <c r="N87" s="33" t="e">
        <f t="shared" si="28"/>
        <v>#VALUE!</v>
      </c>
      <c r="O87" s="33" t="e">
        <f t="shared" si="29"/>
        <v>#VALUE!</v>
      </c>
      <c r="P87" s="33" t="e">
        <f t="shared" si="30"/>
        <v>#VALUE!</v>
      </c>
      <c r="Q87" t="e">
        <f t="shared" si="31"/>
        <v>#VALUE!</v>
      </c>
    </row>
    <row r="88" spans="1:17" x14ac:dyDescent="0.15">
      <c r="A88" s="30">
        <v>11905748</v>
      </c>
      <c r="C88" s="42" t="e">
        <f t="shared" si="22"/>
        <v>#VALUE!</v>
      </c>
      <c r="D88" s="42" t="e">
        <f t="shared" si="23"/>
        <v>#VALUE!</v>
      </c>
      <c r="E88" s="49" t="e">
        <f t="shared" si="24"/>
        <v>#VALUE!</v>
      </c>
      <c r="F88" s="30" t="e">
        <f t="shared" si="17"/>
        <v>#VALUE!</v>
      </c>
      <c r="G88" s="49" t="e">
        <f t="shared" si="25"/>
        <v>#VALUE!</v>
      </c>
      <c r="H88" s="30" t="e">
        <f t="shared" si="18"/>
        <v>#VALUE!</v>
      </c>
      <c r="I88" s="30" t="e">
        <f t="shared" si="19"/>
        <v>#VALUE!</v>
      </c>
      <c r="J88" s="30" t="e">
        <f t="shared" si="20"/>
        <v>#VALUE!</v>
      </c>
      <c r="K88" s="33" t="e">
        <f t="shared" si="26"/>
        <v>#VALUE!</v>
      </c>
      <c r="L88" s="33" t="e">
        <f t="shared" si="21"/>
        <v>#VALUE!</v>
      </c>
      <c r="M88" s="33" t="e">
        <f t="shared" si="27"/>
        <v>#VALUE!</v>
      </c>
      <c r="N88" s="33" t="e">
        <f t="shared" si="28"/>
        <v>#VALUE!</v>
      </c>
      <c r="O88" s="33" t="e">
        <f t="shared" si="29"/>
        <v>#VALUE!</v>
      </c>
      <c r="P88" s="33" t="e">
        <f t="shared" si="30"/>
        <v>#VALUE!</v>
      </c>
      <c r="Q88" t="e">
        <f t="shared" si="31"/>
        <v>#VALUE!</v>
      </c>
    </row>
    <row r="89" spans="1:17" x14ac:dyDescent="0.15">
      <c r="A89" s="30">
        <v>11674393</v>
      </c>
      <c r="C89" s="42" t="e">
        <f t="shared" si="22"/>
        <v>#VALUE!</v>
      </c>
      <c r="D89" s="42" t="e">
        <f t="shared" si="23"/>
        <v>#VALUE!</v>
      </c>
      <c r="E89" s="49" t="e">
        <f t="shared" si="24"/>
        <v>#VALUE!</v>
      </c>
      <c r="F89" s="30" t="e">
        <f t="shared" si="17"/>
        <v>#VALUE!</v>
      </c>
      <c r="G89" s="49" t="e">
        <f t="shared" si="25"/>
        <v>#VALUE!</v>
      </c>
      <c r="H89" s="30" t="e">
        <f t="shared" si="18"/>
        <v>#VALUE!</v>
      </c>
      <c r="I89" s="30" t="e">
        <f t="shared" si="19"/>
        <v>#VALUE!</v>
      </c>
      <c r="J89" s="30" t="e">
        <f t="shared" si="20"/>
        <v>#VALUE!</v>
      </c>
      <c r="K89" s="33" t="e">
        <f t="shared" si="26"/>
        <v>#VALUE!</v>
      </c>
      <c r="L89" s="33" t="e">
        <f t="shared" si="21"/>
        <v>#VALUE!</v>
      </c>
      <c r="M89" s="33" t="e">
        <f t="shared" si="27"/>
        <v>#VALUE!</v>
      </c>
      <c r="N89" s="33" t="e">
        <f t="shared" si="28"/>
        <v>#VALUE!</v>
      </c>
      <c r="O89" s="33" t="e">
        <f t="shared" si="29"/>
        <v>#VALUE!</v>
      </c>
      <c r="P89" s="33" t="e">
        <f t="shared" si="30"/>
        <v>#VALUE!</v>
      </c>
      <c r="Q89" t="e">
        <f t="shared" si="31"/>
        <v>#VALUE!</v>
      </c>
    </row>
    <row r="90" spans="1:17" x14ac:dyDescent="0.15">
      <c r="A90" s="30">
        <v>11972559</v>
      </c>
      <c r="C90" s="42" t="e">
        <f t="shared" si="22"/>
        <v>#VALUE!</v>
      </c>
      <c r="D90" s="42" t="e">
        <f t="shared" si="23"/>
        <v>#VALUE!</v>
      </c>
      <c r="E90" s="49" t="e">
        <f t="shared" si="24"/>
        <v>#VALUE!</v>
      </c>
      <c r="F90" s="30" t="e">
        <f t="shared" si="17"/>
        <v>#VALUE!</v>
      </c>
      <c r="G90" s="49" t="e">
        <f t="shared" si="25"/>
        <v>#VALUE!</v>
      </c>
      <c r="H90" s="30" t="e">
        <f t="shared" si="18"/>
        <v>#VALUE!</v>
      </c>
      <c r="I90" s="30" t="e">
        <f t="shared" si="19"/>
        <v>#VALUE!</v>
      </c>
      <c r="J90" s="30" t="e">
        <f t="shared" si="20"/>
        <v>#VALUE!</v>
      </c>
      <c r="K90" s="33" t="e">
        <f t="shared" si="26"/>
        <v>#VALUE!</v>
      </c>
      <c r="L90" s="33" t="e">
        <f t="shared" si="21"/>
        <v>#VALUE!</v>
      </c>
      <c r="M90" s="33" t="e">
        <f t="shared" si="27"/>
        <v>#VALUE!</v>
      </c>
      <c r="N90" s="33" t="e">
        <f t="shared" si="28"/>
        <v>#VALUE!</v>
      </c>
      <c r="O90" s="33" t="e">
        <f t="shared" si="29"/>
        <v>#VALUE!</v>
      </c>
      <c r="P90" s="33" t="e">
        <f t="shared" si="30"/>
        <v>#VALUE!</v>
      </c>
      <c r="Q90" t="e">
        <f t="shared" si="31"/>
        <v>#VALUE!</v>
      </c>
    </row>
    <row r="91" spans="1:17" x14ac:dyDescent="0.15">
      <c r="A91" s="30">
        <v>11735596</v>
      </c>
      <c r="C91" s="42" t="e">
        <f t="shared" si="22"/>
        <v>#VALUE!</v>
      </c>
      <c r="D91" s="42" t="e">
        <f t="shared" si="23"/>
        <v>#VALUE!</v>
      </c>
      <c r="E91" s="49" t="e">
        <f t="shared" si="24"/>
        <v>#VALUE!</v>
      </c>
      <c r="F91" s="30" t="e">
        <f t="shared" si="17"/>
        <v>#VALUE!</v>
      </c>
      <c r="G91" s="49" t="e">
        <f t="shared" si="25"/>
        <v>#VALUE!</v>
      </c>
      <c r="H91" s="30" t="e">
        <f t="shared" si="18"/>
        <v>#VALUE!</v>
      </c>
      <c r="I91" s="30" t="e">
        <f t="shared" si="19"/>
        <v>#VALUE!</v>
      </c>
      <c r="J91" s="30" t="e">
        <f t="shared" si="20"/>
        <v>#VALUE!</v>
      </c>
      <c r="K91" s="33" t="e">
        <f t="shared" si="26"/>
        <v>#VALUE!</v>
      </c>
      <c r="L91" s="33" t="e">
        <f t="shared" si="21"/>
        <v>#VALUE!</v>
      </c>
      <c r="M91" s="33" t="e">
        <f t="shared" si="27"/>
        <v>#VALUE!</v>
      </c>
      <c r="N91" s="33" t="e">
        <f t="shared" si="28"/>
        <v>#VALUE!</v>
      </c>
      <c r="O91" s="33" t="e">
        <f t="shared" si="29"/>
        <v>#VALUE!</v>
      </c>
      <c r="P91" s="33" t="e">
        <f t="shared" si="30"/>
        <v>#VALUE!</v>
      </c>
      <c r="Q91" t="e">
        <f t="shared" si="31"/>
        <v>#VALUE!</v>
      </c>
    </row>
    <row r="92" spans="1:17" x14ac:dyDescent="0.15">
      <c r="A92" s="30">
        <v>11466570</v>
      </c>
      <c r="C92" s="42" t="e">
        <f t="shared" si="22"/>
        <v>#VALUE!</v>
      </c>
      <c r="D92" s="42" t="e">
        <f t="shared" si="23"/>
        <v>#VALUE!</v>
      </c>
      <c r="E92" s="49" t="e">
        <f t="shared" si="24"/>
        <v>#VALUE!</v>
      </c>
      <c r="F92" s="30" t="e">
        <f t="shared" si="17"/>
        <v>#VALUE!</v>
      </c>
      <c r="G92" s="49" t="e">
        <f t="shared" si="25"/>
        <v>#VALUE!</v>
      </c>
      <c r="H92" s="30" t="e">
        <f t="shared" si="18"/>
        <v>#VALUE!</v>
      </c>
      <c r="I92" s="30" t="e">
        <f t="shared" si="19"/>
        <v>#VALUE!</v>
      </c>
      <c r="J92" s="30" t="e">
        <f t="shared" si="20"/>
        <v>#VALUE!</v>
      </c>
      <c r="K92" s="33" t="e">
        <f t="shared" si="26"/>
        <v>#VALUE!</v>
      </c>
      <c r="L92" s="33" t="e">
        <f t="shared" si="21"/>
        <v>#VALUE!</v>
      </c>
      <c r="M92" s="33" t="e">
        <f t="shared" si="27"/>
        <v>#VALUE!</v>
      </c>
      <c r="N92" s="33" t="e">
        <f t="shared" si="28"/>
        <v>#VALUE!</v>
      </c>
      <c r="O92" s="33" t="e">
        <f t="shared" si="29"/>
        <v>#VALUE!</v>
      </c>
      <c r="P92" s="33" t="e">
        <f t="shared" si="30"/>
        <v>#VALUE!</v>
      </c>
      <c r="Q92" t="e">
        <f t="shared" si="31"/>
        <v>#VALUE!</v>
      </c>
    </row>
    <row r="93" spans="1:17" x14ac:dyDescent="0.15">
      <c r="A93" s="30">
        <v>97116774</v>
      </c>
      <c r="C93" s="42" t="e">
        <f t="shared" si="22"/>
        <v>#VALUE!</v>
      </c>
      <c r="D93" s="42" t="e">
        <f t="shared" si="23"/>
        <v>#VALUE!</v>
      </c>
      <c r="E93" s="49" t="e">
        <f t="shared" si="24"/>
        <v>#VALUE!</v>
      </c>
      <c r="F93" s="30" t="e">
        <f t="shared" si="17"/>
        <v>#VALUE!</v>
      </c>
      <c r="G93" s="49" t="e">
        <f t="shared" si="25"/>
        <v>#VALUE!</v>
      </c>
      <c r="H93" s="30" t="e">
        <f t="shared" si="18"/>
        <v>#VALUE!</v>
      </c>
      <c r="I93" s="30" t="e">
        <f t="shared" si="19"/>
        <v>#VALUE!</v>
      </c>
      <c r="J93" s="30" t="e">
        <f t="shared" si="20"/>
        <v>#VALUE!</v>
      </c>
      <c r="K93" s="33" t="e">
        <f t="shared" si="26"/>
        <v>#VALUE!</v>
      </c>
      <c r="L93" s="33" t="e">
        <f t="shared" si="21"/>
        <v>#VALUE!</v>
      </c>
      <c r="M93" s="33" t="e">
        <f t="shared" si="27"/>
        <v>#VALUE!</v>
      </c>
      <c r="N93" s="33" t="e">
        <f t="shared" si="28"/>
        <v>#VALUE!</v>
      </c>
      <c r="O93" s="33" t="e">
        <f t="shared" si="29"/>
        <v>#VALUE!</v>
      </c>
      <c r="P93" s="33" t="e">
        <f t="shared" si="30"/>
        <v>#VALUE!</v>
      </c>
      <c r="Q93" t="e">
        <f t="shared" si="31"/>
        <v>#VALUE!</v>
      </c>
    </row>
    <row r="94" spans="1:17" x14ac:dyDescent="0.15">
      <c r="A94" s="30">
        <v>99157303</v>
      </c>
      <c r="C94" s="42" t="e">
        <f t="shared" si="22"/>
        <v>#VALUE!</v>
      </c>
      <c r="D94" s="42" t="e">
        <f t="shared" si="23"/>
        <v>#VALUE!</v>
      </c>
      <c r="E94" s="49" t="e">
        <f t="shared" si="24"/>
        <v>#VALUE!</v>
      </c>
      <c r="F94" s="30" t="e">
        <f t="shared" si="17"/>
        <v>#VALUE!</v>
      </c>
      <c r="G94" s="49" t="e">
        <f t="shared" si="25"/>
        <v>#VALUE!</v>
      </c>
      <c r="H94" s="30" t="e">
        <f t="shared" si="18"/>
        <v>#VALUE!</v>
      </c>
      <c r="I94" s="30" t="e">
        <f t="shared" si="19"/>
        <v>#VALUE!</v>
      </c>
      <c r="J94" s="30" t="e">
        <f t="shared" si="20"/>
        <v>#VALUE!</v>
      </c>
      <c r="K94" s="33" t="e">
        <f t="shared" si="26"/>
        <v>#VALUE!</v>
      </c>
      <c r="L94" s="33" t="e">
        <f t="shared" si="21"/>
        <v>#VALUE!</v>
      </c>
      <c r="M94" s="33" t="e">
        <f t="shared" si="27"/>
        <v>#VALUE!</v>
      </c>
      <c r="N94" s="33" t="e">
        <f t="shared" si="28"/>
        <v>#VALUE!</v>
      </c>
      <c r="O94" s="33" t="e">
        <f t="shared" si="29"/>
        <v>#VALUE!</v>
      </c>
      <c r="P94" s="33" t="e">
        <f t="shared" si="30"/>
        <v>#VALUE!</v>
      </c>
      <c r="Q94" t="e">
        <f t="shared" si="31"/>
        <v>#VALUE!</v>
      </c>
    </row>
    <row r="95" spans="1:17" x14ac:dyDescent="0.15">
      <c r="A95" s="30">
        <v>98034539</v>
      </c>
      <c r="C95" s="42" t="e">
        <f t="shared" si="22"/>
        <v>#VALUE!</v>
      </c>
      <c r="D95" s="42" t="e">
        <f t="shared" si="23"/>
        <v>#VALUE!</v>
      </c>
      <c r="E95" s="49" t="e">
        <f t="shared" si="24"/>
        <v>#VALUE!</v>
      </c>
      <c r="F95" s="30" t="e">
        <f t="shared" si="17"/>
        <v>#VALUE!</v>
      </c>
      <c r="G95" s="49" t="e">
        <f t="shared" si="25"/>
        <v>#VALUE!</v>
      </c>
      <c r="H95" s="30" t="e">
        <f t="shared" si="18"/>
        <v>#VALUE!</v>
      </c>
      <c r="I95" s="30" t="e">
        <f t="shared" si="19"/>
        <v>#VALUE!</v>
      </c>
      <c r="J95" s="30" t="e">
        <f t="shared" si="20"/>
        <v>#VALUE!</v>
      </c>
      <c r="K95" s="33" t="e">
        <f t="shared" si="26"/>
        <v>#VALUE!</v>
      </c>
      <c r="L95" s="33" t="e">
        <f t="shared" si="21"/>
        <v>#VALUE!</v>
      </c>
      <c r="M95" s="33" t="e">
        <f t="shared" si="27"/>
        <v>#VALUE!</v>
      </c>
      <c r="N95" s="33" t="e">
        <f t="shared" si="28"/>
        <v>#VALUE!</v>
      </c>
      <c r="O95" s="33" t="e">
        <f t="shared" si="29"/>
        <v>#VALUE!</v>
      </c>
      <c r="P95" s="33" t="e">
        <f t="shared" si="30"/>
        <v>#VALUE!</v>
      </c>
      <c r="Q95" t="e">
        <f t="shared" si="31"/>
        <v>#VALUE!</v>
      </c>
    </row>
    <row r="96" spans="1:17" x14ac:dyDescent="0.15">
      <c r="A96" s="30">
        <v>12063828</v>
      </c>
      <c r="C96" s="42" t="e">
        <f t="shared" si="22"/>
        <v>#VALUE!</v>
      </c>
      <c r="D96" s="42" t="e">
        <f t="shared" si="23"/>
        <v>#VALUE!</v>
      </c>
      <c r="E96" s="49" t="e">
        <f t="shared" si="24"/>
        <v>#VALUE!</v>
      </c>
      <c r="F96" s="30" t="e">
        <f t="shared" si="17"/>
        <v>#VALUE!</v>
      </c>
      <c r="G96" s="49" t="e">
        <f t="shared" si="25"/>
        <v>#VALUE!</v>
      </c>
      <c r="H96" s="30" t="e">
        <f t="shared" si="18"/>
        <v>#VALUE!</v>
      </c>
      <c r="I96" s="30" t="e">
        <f t="shared" si="19"/>
        <v>#VALUE!</v>
      </c>
      <c r="J96" s="30" t="e">
        <f t="shared" si="20"/>
        <v>#VALUE!</v>
      </c>
      <c r="K96" s="33" t="e">
        <f t="shared" si="26"/>
        <v>#VALUE!</v>
      </c>
      <c r="L96" s="33" t="e">
        <f t="shared" si="21"/>
        <v>#VALUE!</v>
      </c>
      <c r="M96" s="33" t="e">
        <f t="shared" si="27"/>
        <v>#VALUE!</v>
      </c>
      <c r="N96" s="33" t="e">
        <f t="shared" si="28"/>
        <v>#VALUE!</v>
      </c>
      <c r="O96" s="33" t="e">
        <f t="shared" si="29"/>
        <v>#VALUE!</v>
      </c>
      <c r="P96" s="33" t="e">
        <f t="shared" si="30"/>
        <v>#VALUE!</v>
      </c>
      <c r="Q96" t="e">
        <f t="shared" si="31"/>
        <v>#VALUE!</v>
      </c>
    </row>
    <row r="97" spans="1:17" x14ac:dyDescent="0.15">
      <c r="A97" s="30">
        <v>99104996</v>
      </c>
      <c r="C97" s="42" t="e">
        <f t="shared" si="22"/>
        <v>#VALUE!</v>
      </c>
      <c r="D97" s="42" t="e">
        <f t="shared" si="23"/>
        <v>#VALUE!</v>
      </c>
      <c r="E97" s="49" t="e">
        <f t="shared" si="24"/>
        <v>#VALUE!</v>
      </c>
      <c r="F97" s="30" t="e">
        <f t="shared" si="17"/>
        <v>#VALUE!</v>
      </c>
      <c r="G97" s="49" t="e">
        <f t="shared" si="25"/>
        <v>#VALUE!</v>
      </c>
      <c r="H97" s="30" t="e">
        <f t="shared" si="18"/>
        <v>#VALUE!</v>
      </c>
      <c r="I97" s="30" t="e">
        <f t="shared" si="19"/>
        <v>#VALUE!</v>
      </c>
      <c r="J97" s="30" t="e">
        <f t="shared" si="20"/>
        <v>#VALUE!</v>
      </c>
      <c r="K97" s="33" t="e">
        <f t="shared" si="26"/>
        <v>#VALUE!</v>
      </c>
      <c r="L97" s="33" t="e">
        <f t="shared" si="21"/>
        <v>#VALUE!</v>
      </c>
      <c r="M97" s="33" t="e">
        <f t="shared" si="27"/>
        <v>#VALUE!</v>
      </c>
      <c r="N97" s="33" t="e">
        <f t="shared" si="28"/>
        <v>#VALUE!</v>
      </c>
      <c r="O97" s="33" t="e">
        <f t="shared" si="29"/>
        <v>#VALUE!</v>
      </c>
      <c r="P97" s="33" t="e">
        <f t="shared" si="30"/>
        <v>#VALUE!</v>
      </c>
      <c r="Q97" t="e">
        <f t="shared" si="31"/>
        <v>#VALUE!</v>
      </c>
    </row>
    <row r="98" spans="1:17" x14ac:dyDescent="0.15">
      <c r="A98" s="30">
        <v>11654567</v>
      </c>
      <c r="C98" s="42" t="e">
        <f t="shared" si="22"/>
        <v>#VALUE!</v>
      </c>
      <c r="D98" s="42" t="e">
        <f t="shared" si="23"/>
        <v>#VALUE!</v>
      </c>
      <c r="E98" s="49" t="e">
        <f t="shared" si="24"/>
        <v>#VALUE!</v>
      </c>
      <c r="F98" s="30" t="e">
        <f t="shared" si="17"/>
        <v>#VALUE!</v>
      </c>
      <c r="G98" s="49" t="e">
        <f t="shared" si="25"/>
        <v>#VALUE!</v>
      </c>
      <c r="H98" s="30" t="e">
        <f t="shared" si="18"/>
        <v>#VALUE!</v>
      </c>
      <c r="I98" s="30" t="e">
        <f t="shared" si="19"/>
        <v>#VALUE!</v>
      </c>
      <c r="J98" s="30" t="e">
        <f t="shared" si="20"/>
        <v>#VALUE!</v>
      </c>
      <c r="K98" s="33" t="e">
        <f t="shared" si="26"/>
        <v>#VALUE!</v>
      </c>
      <c r="L98" s="33" t="e">
        <f t="shared" si="21"/>
        <v>#VALUE!</v>
      </c>
      <c r="M98" s="33" t="e">
        <f t="shared" si="27"/>
        <v>#VALUE!</v>
      </c>
      <c r="N98" s="33" t="e">
        <f t="shared" si="28"/>
        <v>#VALUE!</v>
      </c>
      <c r="O98" s="33" t="e">
        <f t="shared" si="29"/>
        <v>#VALUE!</v>
      </c>
      <c r="P98" s="33" t="e">
        <f t="shared" si="30"/>
        <v>#VALUE!</v>
      </c>
      <c r="Q98" t="e">
        <f t="shared" si="31"/>
        <v>#VALUE!</v>
      </c>
    </row>
    <row r="99" spans="1:17" x14ac:dyDescent="0.15">
      <c r="A99" s="30">
        <v>12799615</v>
      </c>
      <c r="C99" s="42" t="e">
        <f t="shared" si="22"/>
        <v>#VALUE!</v>
      </c>
      <c r="D99" s="42" t="e">
        <f t="shared" si="23"/>
        <v>#VALUE!</v>
      </c>
      <c r="E99" s="49" t="e">
        <f t="shared" si="24"/>
        <v>#VALUE!</v>
      </c>
      <c r="F99" s="30" t="e">
        <f t="shared" si="17"/>
        <v>#VALUE!</v>
      </c>
      <c r="G99" s="49" t="e">
        <f t="shared" si="25"/>
        <v>#VALUE!</v>
      </c>
      <c r="H99" s="30" t="e">
        <f t="shared" si="18"/>
        <v>#VALUE!</v>
      </c>
      <c r="I99" s="30" t="e">
        <f t="shared" si="19"/>
        <v>#VALUE!</v>
      </c>
      <c r="J99" s="30" t="e">
        <f t="shared" si="20"/>
        <v>#VALUE!</v>
      </c>
      <c r="K99" s="33" t="e">
        <f t="shared" si="26"/>
        <v>#VALUE!</v>
      </c>
      <c r="L99" s="33" t="e">
        <f t="shared" si="21"/>
        <v>#VALUE!</v>
      </c>
      <c r="M99" s="33" t="e">
        <f t="shared" si="27"/>
        <v>#VALUE!</v>
      </c>
      <c r="N99" s="33" t="e">
        <f t="shared" si="28"/>
        <v>#VALUE!</v>
      </c>
      <c r="O99" s="33" t="e">
        <f t="shared" si="29"/>
        <v>#VALUE!</v>
      </c>
      <c r="P99" s="33" t="e">
        <f t="shared" si="30"/>
        <v>#VALUE!</v>
      </c>
      <c r="Q99" t="e">
        <f t="shared" si="31"/>
        <v>#VALUE!</v>
      </c>
    </row>
    <row r="100" spans="1:17" x14ac:dyDescent="0.15">
      <c r="A100" s="30">
        <v>12587008</v>
      </c>
      <c r="C100" s="42" t="e">
        <f t="shared" si="22"/>
        <v>#VALUE!</v>
      </c>
      <c r="D100" s="42" t="e">
        <f t="shared" si="23"/>
        <v>#VALUE!</v>
      </c>
      <c r="E100" s="49" t="e">
        <f t="shared" si="24"/>
        <v>#VALUE!</v>
      </c>
      <c r="F100" s="30" t="e">
        <f t="shared" si="17"/>
        <v>#VALUE!</v>
      </c>
      <c r="G100" s="49" t="e">
        <f t="shared" si="25"/>
        <v>#VALUE!</v>
      </c>
      <c r="H100" s="30" t="e">
        <f t="shared" si="18"/>
        <v>#VALUE!</v>
      </c>
      <c r="I100" s="30" t="e">
        <f t="shared" si="19"/>
        <v>#VALUE!</v>
      </c>
      <c r="J100" s="30" t="e">
        <f t="shared" si="20"/>
        <v>#VALUE!</v>
      </c>
      <c r="K100" s="33" t="e">
        <f t="shared" si="26"/>
        <v>#VALUE!</v>
      </c>
      <c r="L100" s="33" t="e">
        <f t="shared" si="21"/>
        <v>#VALUE!</v>
      </c>
      <c r="M100" s="33" t="e">
        <f t="shared" si="27"/>
        <v>#VALUE!</v>
      </c>
      <c r="N100" s="33" t="e">
        <f t="shared" si="28"/>
        <v>#VALUE!</v>
      </c>
      <c r="O100" s="33" t="e">
        <f t="shared" si="29"/>
        <v>#VALUE!</v>
      </c>
      <c r="P100" s="33" t="e">
        <f t="shared" si="30"/>
        <v>#VALUE!</v>
      </c>
      <c r="Q100" t="e">
        <f t="shared" si="31"/>
        <v>#VALUE!</v>
      </c>
    </row>
    <row r="101" spans="1:17" x14ac:dyDescent="0.15">
      <c r="A101" s="30">
        <v>99117968</v>
      </c>
      <c r="C101" s="42" t="e">
        <f t="shared" si="22"/>
        <v>#VALUE!</v>
      </c>
      <c r="D101" s="42" t="e">
        <f t="shared" si="23"/>
        <v>#VALUE!</v>
      </c>
      <c r="E101" s="49" t="e">
        <f t="shared" si="24"/>
        <v>#VALUE!</v>
      </c>
      <c r="F101" s="30" t="e">
        <f t="shared" si="17"/>
        <v>#VALUE!</v>
      </c>
      <c r="G101" s="49" t="e">
        <f t="shared" si="25"/>
        <v>#VALUE!</v>
      </c>
      <c r="H101" s="30" t="e">
        <f t="shared" si="18"/>
        <v>#VALUE!</v>
      </c>
      <c r="I101" s="30" t="e">
        <f t="shared" si="19"/>
        <v>#VALUE!</v>
      </c>
      <c r="J101" s="30" t="e">
        <f t="shared" si="20"/>
        <v>#VALUE!</v>
      </c>
      <c r="K101" s="33" t="e">
        <f t="shared" si="26"/>
        <v>#VALUE!</v>
      </c>
      <c r="L101" s="33" t="e">
        <f t="shared" si="21"/>
        <v>#VALUE!</v>
      </c>
      <c r="M101" s="33" t="e">
        <f t="shared" si="27"/>
        <v>#VALUE!</v>
      </c>
      <c r="N101" s="33" t="e">
        <f t="shared" si="28"/>
        <v>#VALUE!</v>
      </c>
      <c r="O101" s="33" t="e">
        <f t="shared" si="29"/>
        <v>#VALUE!</v>
      </c>
      <c r="P101" s="33" t="e">
        <f t="shared" si="30"/>
        <v>#VALUE!</v>
      </c>
      <c r="Q101" t="e">
        <f t="shared" si="31"/>
        <v>#VALUE!</v>
      </c>
    </row>
    <row r="102" spans="1:17" x14ac:dyDescent="0.15">
      <c r="A102" s="30">
        <v>11940564</v>
      </c>
      <c r="C102" s="42" t="e">
        <f t="shared" si="22"/>
        <v>#VALUE!</v>
      </c>
      <c r="D102" s="42" t="e">
        <f t="shared" si="23"/>
        <v>#VALUE!</v>
      </c>
      <c r="E102" s="49" t="e">
        <f t="shared" si="24"/>
        <v>#VALUE!</v>
      </c>
      <c r="F102" s="30" t="e">
        <f t="shared" si="17"/>
        <v>#VALUE!</v>
      </c>
      <c r="G102" s="49" t="e">
        <f t="shared" si="25"/>
        <v>#VALUE!</v>
      </c>
      <c r="H102" s="30" t="e">
        <f t="shared" si="18"/>
        <v>#VALUE!</v>
      </c>
      <c r="I102" s="30" t="e">
        <f t="shared" si="19"/>
        <v>#VALUE!</v>
      </c>
      <c r="J102" s="30" t="e">
        <f t="shared" si="20"/>
        <v>#VALUE!</v>
      </c>
      <c r="K102" s="33" t="e">
        <f t="shared" si="26"/>
        <v>#VALUE!</v>
      </c>
      <c r="L102" s="33" t="e">
        <f t="shared" si="21"/>
        <v>#VALUE!</v>
      </c>
      <c r="M102" s="33" t="e">
        <f t="shared" si="27"/>
        <v>#VALUE!</v>
      </c>
      <c r="N102" s="33" t="e">
        <f t="shared" si="28"/>
        <v>#VALUE!</v>
      </c>
      <c r="O102" s="33" t="e">
        <f t="shared" si="29"/>
        <v>#VALUE!</v>
      </c>
      <c r="P102" s="33" t="e">
        <f t="shared" si="30"/>
        <v>#VALUE!</v>
      </c>
      <c r="Q102" t="e">
        <f t="shared" si="31"/>
        <v>#VALUE!</v>
      </c>
    </row>
    <row r="103" spans="1:17" x14ac:dyDescent="0.15">
      <c r="A103" s="30">
        <v>99138620</v>
      </c>
      <c r="C103" s="42" t="e">
        <f t="shared" si="22"/>
        <v>#VALUE!</v>
      </c>
      <c r="D103" s="42" t="e">
        <f t="shared" si="23"/>
        <v>#VALUE!</v>
      </c>
      <c r="E103" s="49" t="e">
        <f t="shared" si="24"/>
        <v>#VALUE!</v>
      </c>
      <c r="F103" s="30" t="e">
        <f t="shared" si="17"/>
        <v>#VALUE!</v>
      </c>
      <c r="G103" s="49" t="e">
        <f t="shared" si="25"/>
        <v>#VALUE!</v>
      </c>
      <c r="H103" s="30" t="e">
        <f t="shared" si="18"/>
        <v>#VALUE!</v>
      </c>
      <c r="I103" s="30" t="e">
        <f t="shared" si="19"/>
        <v>#VALUE!</v>
      </c>
      <c r="J103" s="30" t="e">
        <f t="shared" si="20"/>
        <v>#VALUE!</v>
      </c>
      <c r="K103" s="33" t="e">
        <f t="shared" si="26"/>
        <v>#VALUE!</v>
      </c>
      <c r="L103" s="33" t="e">
        <f t="shared" si="21"/>
        <v>#VALUE!</v>
      </c>
      <c r="M103" s="33" t="e">
        <f t="shared" si="27"/>
        <v>#VALUE!</v>
      </c>
      <c r="N103" s="33" t="e">
        <f t="shared" si="28"/>
        <v>#VALUE!</v>
      </c>
      <c r="O103" s="33" t="e">
        <f t="shared" si="29"/>
        <v>#VALUE!</v>
      </c>
      <c r="P103" s="33" t="e">
        <f t="shared" si="30"/>
        <v>#VALUE!</v>
      </c>
      <c r="Q103" t="e">
        <f t="shared" si="31"/>
        <v>#VALUE!</v>
      </c>
    </row>
    <row r="104" spans="1:17" x14ac:dyDescent="0.15">
      <c r="A104" s="30">
        <v>11379462</v>
      </c>
      <c r="C104" s="42" t="e">
        <f t="shared" si="22"/>
        <v>#VALUE!</v>
      </c>
      <c r="D104" s="42" t="e">
        <f t="shared" si="23"/>
        <v>#VALUE!</v>
      </c>
      <c r="E104" s="49" t="e">
        <f t="shared" si="24"/>
        <v>#VALUE!</v>
      </c>
      <c r="F104" s="30" t="e">
        <f t="shared" si="17"/>
        <v>#VALUE!</v>
      </c>
      <c r="G104" s="49" t="e">
        <f t="shared" si="25"/>
        <v>#VALUE!</v>
      </c>
      <c r="H104" s="30" t="e">
        <f t="shared" si="18"/>
        <v>#VALUE!</v>
      </c>
      <c r="I104" s="30" t="e">
        <f t="shared" si="19"/>
        <v>#VALUE!</v>
      </c>
      <c r="J104" s="30" t="e">
        <f t="shared" si="20"/>
        <v>#VALUE!</v>
      </c>
      <c r="K104" s="33" t="e">
        <f t="shared" si="26"/>
        <v>#VALUE!</v>
      </c>
      <c r="L104" s="33" t="e">
        <f t="shared" si="21"/>
        <v>#VALUE!</v>
      </c>
      <c r="M104" s="33" t="e">
        <f t="shared" si="27"/>
        <v>#VALUE!</v>
      </c>
      <c r="N104" s="33" t="e">
        <f t="shared" si="28"/>
        <v>#VALUE!</v>
      </c>
      <c r="O104" s="33" t="e">
        <f t="shared" si="29"/>
        <v>#VALUE!</v>
      </c>
      <c r="P104" s="33" t="e">
        <f t="shared" si="30"/>
        <v>#VALUE!</v>
      </c>
      <c r="Q104" t="e">
        <f t="shared" si="31"/>
        <v>#VALUE!</v>
      </c>
    </row>
    <row r="105" spans="1:17" x14ac:dyDescent="0.15">
      <c r="A105" s="30">
        <v>12008280</v>
      </c>
      <c r="C105" s="42" t="e">
        <f t="shared" si="22"/>
        <v>#VALUE!</v>
      </c>
      <c r="D105" s="42" t="e">
        <f t="shared" si="23"/>
        <v>#VALUE!</v>
      </c>
      <c r="E105" s="49" t="e">
        <f t="shared" si="24"/>
        <v>#VALUE!</v>
      </c>
      <c r="F105" s="30" t="e">
        <f t="shared" si="17"/>
        <v>#VALUE!</v>
      </c>
      <c r="G105" s="49" t="e">
        <f t="shared" si="25"/>
        <v>#VALUE!</v>
      </c>
      <c r="H105" s="30" t="e">
        <f t="shared" si="18"/>
        <v>#VALUE!</v>
      </c>
      <c r="I105" s="30" t="e">
        <f t="shared" si="19"/>
        <v>#VALUE!</v>
      </c>
      <c r="J105" s="30" t="e">
        <f t="shared" si="20"/>
        <v>#VALUE!</v>
      </c>
      <c r="K105" s="33" t="e">
        <f t="shared" si="26"/>
        <v>#VALUE!</v>
      </c>
      <c r="L105" s="33" t="e">
        <f t="shared" si="21"/>
        <v>#VALUE!</v>
      </c>
      <c r="M105" s="33" t="e">
        <f t="shared" si="27"/>
        <v>#VALUE!</v>
      </c>
      <c r="N105" s="33" t="e">
        <f t="shared" si="28"/>
        <v>#VALUE!</v>
      </c>
      <c r="O105" s="33" t="e">
        <f t="shared" si="29"/>
        <v>#VALUE!</v>
      </c>
      <c r="P105" s="33" t="e">
        <f t="shared" si="30"/>
        <v>#VALUE!</v>
      </c>
      <c r="Q105" t="e">
        <f t="shared" si="31"/>
        <v>#VALUE!</v>
      </c>
    </row>
    <row r="106" spans="1:17" x14ac:dyDescent="0.15">
      <c r="A106" s="30">
        <v>98135395</v>
      </c>
      <c r="C106" s="42" t="e">
        <f t="shared" si="22"/>
        <v>#VALUE!</v>
      </c>
      <c r="D106" s="42" t="e">
        <f t="shared" si="23"/>
        <v>#VALUE!</v>
      </c>
      <c r="E106" s="49" t="e">
        <f t="shared" si="24"/>
        <v>#VALUE!</v>
      </c>
      <c r="F106" s="30" t="e">
        <f t="shared" si="17"/>
        <v>#VALUE!</v>
      </c>
      <c r="G106" s="49" t="e">
        <f t="shared" si="25"/>
        <v>#VALUE!</v>
      </c>
      <c r="H106" s="30" t="e">
        <f t="shared" si="18"/>
        <v>#VALUE!</v>
      </c>
      <c r="I106" s="30" t="e">
        <f t="shared" si="19"/>
        <v>#VALUE!</v>
      </c>
      <c r="J106" s="30" t="e">
        <f t="shared" si="20"/>
        <v>#VALUE!</v>
      </c>
      <c r="K106" s="33" t="e">
        <f t="shared" si="26"/>
        <v>#VALUE!</v>
      </c>
      <c r="L106" s="33" t="e">
        <f t="shared" si="21"/>
        <v>#VALUE!</v>
      </c>
      <c r="M106" s="33" t="e">
        <f t="shared" si="27"/>
        <v>#VALUE!</v>
      </c>
      <c r="N106" s="33" t="e">
        <f t="shared" si="28"/>
        <v>#VALUE!</v>
      </c>
      <c r="O106" s="33" t="e">
        <f t="shared" si="29"/>
        <v>#VALUE!</v>
      </c>
      <c r="P106" s="33" t="e">
        <f t="shared" si="30"/>
        <v>#VALUE!</v>
      </c>
      <c r="Q106" t="e">
        <f t="shared" si="31"/>
        <v>#VALUE!</v>
      </c>
    </row>
    <row r="107" spans="1:17" x14ac:dyDescent="0.15">
      <c r="A107" s="30">
        <v>12023709</v>
      </c>
      <c r="C107" s="42" t="e">
        <f t="shared" si="22"/>
        <v>#VALUE!</v>
      </c>
      <c r="D107" s="42" t="e">
        <f t="shared" si="23"/>
        <v>#VALUE!</v>
      </c>
      <c r="E107" s="49" t="e">
        <f t="shared" si="24"/>
        <v>#VALUE!</v>
      </c>
      <c r="F107" s="30" t="e">
        <f t="shared" si="17"/>
        <v>#VALUE!</v>
      </c>
      <c r="G107" s="49" t="e">
        <f t="shared" si="25"/>
        <v>#VALUE!</v>
      </c>
      <c r="H107" s="30" t="e">
        <f t="shared" si="18"/>
        <v>#VALUE!</v>
      </c>
      <c r="I107" s="30" t="e">
        <f t="shared" si="19"/>
        <v>#VALUE!</v>
      </c>
      <c r="J107" s="30" t="e">
        <f t="shared" si="20"/>
        <v>#VALUE!</v>
      </c>
      <c r="K107" s="33" t="e">
        <f t="shared" si="26"/>
        <v>#VALUE!</v>
      </c>
      <c r="L107" s="33" t="e">
        <f t="shared" si="21"/>
        <v>#VALUE!</v>
      </c>
      <c r="M107" s="33" t="e">
        <f t="shared" si="27"/>
        <v>#VALUE!</v>
      </c>
      <c r="N107" s="33" t="e">
        <f t="shared" si="28"/>
        <v>#VALUE!</v>
      </c>
      <c r="O107" s="33" t="e">
        <f t="shared" si="29"/>
        <v>#VALUE!</v>
      </c>
      <c r="P107" s="33" t="e">
        <f t="shared" si="30"/>
        <v>#VALUE!</v>
      </c>
      <c r="Q107" t="e">
        <f t="shared" si="31"/>
        <v>#VALUE!</v>
      </c>
    </row>
    <row r="108" spans="1:17" x14ac:dyDescent="0.15">
      <c r="A108" s="30">
        <v>11922541</v>
      </c>
      <c r="C108" s="42" t="e">
        <f t="shared" si="22"/>
        <v>#VALUE!</v>
      </c>
      <c r="D108" s="42" t="e">
        <f t="shared" si="23"/>
        <v>#VALUE!</v>
      </c>
      <c r="E108" s="49" t="e">
        <f t="shared" si="24"/>
        <v>#VALUE!</v>
      </c>
      <c r="F108" s="30" t="e">
        <f t="shared" si="17"/>
        <v>#VALUE!</v>
      </c>
      <c r="G108" s="49" t="e">
        <f t="shared" si="25"/>
        <v>#VALUE!</v>
      </c>
      <c r="H108" s="30" t="e">
        <f t="shared" si="18"/>
        <v>#VALUE!</v>
      </c>
      <c r="I108" s="30" t="e">
        <f t="shared" si="19"/>
        <v>#VALUE!</v>
      </c>
      <c r="J108" s="30" t="e">
        <f t="shared" si="20"/>
        <v>#VALUE!</v>
      </c>
      <c r="K108" s="33" t="e">
        <f t="shared" si="26"/>
        <v>#VALUE!</v>
      </c>
      <c r="L108" s="33" t="e">
        <f t="shared" si="21"/>
        <v>#VALUE!</v>
      </c>
      <c r="M108" s="33" t="e">
        <f t="shared" si="27"/>
        <v>#VALUE!</v>
      </c>
      <c r="N108" s="33" t="e">
        <f t="shared" si="28"/>
        <v>#VALUE!</v>
      </c>
      <c r="O108" s="33" t="e">
        <f t="shared" si="29"/>
        <v>#VALUE!</v>
      </c>
      <c r="P108" s="33" t="e">
        <f t="shared" si="30"/>
        <v>#VALUE!</v>
      </c>
      <c r="Q108" t="e">
        <f t="shared" si="31"/>
        <v>#VALUE!</v>
      </c>
    </row>
    <row r="109" spans="1:17" x14ac:dyDescent="0.15">
      <c r="A109" s="30">
        <v>10681880</v>
      </c>
      <c r="C109" s="42" t="e">
        <f t="shared" si="22"/>
        <v>#VALUE!</v>
      </c>
      <c r="D109" s="42" t="e">
        <f t="shared" si="23"/>
        <v>#VALUE!</v>
      </c>
      <c r="E109" s="49" t="e">
        <f t="shared" si="24"/>
        <v>#VALUE!</v>
      </c>
      <c r="F109" s="30" t="e">
        <f t="shared" si="17"/>
        <v>#VALUE!</v>
      </c>
      <c r="G109" s="49" t="e">
        <f t="shared" si="25"/>
        <v>#VALUE!</v>
      </c>
      <c r="H109" s="30" t="e">
        <f t="shared" si="18"/>
        <v>#VALUE!</v>
      </c>
      <c r="I109" s="30" t="e">
        <f t="shared" si="19"/>
        <v>#VALUE!</v>
      </c>
      <c r="J109" s="30" t="e">
        <f t="shared" si="20"/>
        <v>#VALUE!</v>
      </c>
      <c r="K109" s="33" t="e">
        <f t="shared" si="26"/>
        <v>#VALUE!</v>
      </c>
      <c r="L109" s="33" t="e">
        <f t="shared" si="21"/>
        <v>#VALUE!</v>
      </c>
      <c r="M109" s="33" t="e">
        <f t="shared" si="27"/>
        <v>#VALUE!</v>
      </c>
      <c r="N109" s="33" t="e">
        <f t="shared" si="28"/>
        <v>#VALUE!</v>
      </c>
      <c r="O109" s="33" t="e">
        <f t="shared" si="29"/>
        <v>#VALUE!</v>
      </c>
      <c r="P109" s="33" t="e">
        <f t="shared" si="30"/>
        <v>#VALUE!</v>
      </c>
      <c r="Q109" t="e">
        <f t="shared" si="31"/>
        <v>#VALUE!</v>
      </c>
    </row>
    <row r="110" spans="1:17" x14ac:dyDescent="0.15">
      <c r="A110" s="30">
        <v>11656295</v>
      </c>
      <c r="C110" s="42" t="e">
        <f t="shared" si="22"/>
        <v>#VALUE!</v>
      </c>
      <c r="D110" s="42" t="e">
        <f t="shared" si="23"/>
        <v>#VALUE!</v>
      </c>
      <c r="E110" s="49" t="e">
        <f t="shared" si="24"/>
        <v>#VALUE!</v>
      </c>
      <c r="F110" s="30" t="e">
        <f t="shared" si="17"/>
        <v>#VALUE!</v>
      </c>
      <c r="G110" s="49" t="e">
        <f t="shared" si="25"/>
        <v>#VALUE!</v>
      </c>
      <c r="H110" s="30" t="e">
        <f t="shared" si="18"/>
        <v>#VALUE!</v>
      </c>
      <c r="I110" s="30" t="e">
        <f t="shared" si="19"/>
        <v>#VALUE!</v>
      </c>
      <c r="J110" s="30" t="e">
        <f t="shared" si="20"/>
        <v>#VALUE!</v>
      </c>
      <c r="K110" s="33" t="e">
        <f t="shared" si="26"/>
        <v>#VALUE!</v>
      </c>
      <c r="L110" s="33" t="e">
        <f t="shared" si="21"/>
        <v>#VALUE!</v>
      </c>
      <c r="M110" s="33" t="e">
        <f t="shared" si="27"/>
        <v>#VALUE!</v>
      </c>
      <c r="N110" s="33" t="e">
        <f t="shared" si="28"/>
        <v>#VALUE!</v>
      </c>
      <c r="O110" s="33" t="e">
        <f t="shared" si="29"/>
        <v>#VALUE!</v>
      </c>
      <c r="P110" s="33" t="e">
        <f t="shared" si="30"/>
        <v>#VALUE!</v>
      </c>
      <c r="Q110" t="e">
        <f t="shared" si="31"/>
        <v>#VALUE!</v>
      </c>
    </row>
    <row r="111" spans="1:17" x14ac:dyDescent="0.15">
      <c r="A111" s="30">
        <v>99194021</v>
      </c>
      <c r="C111" s="42" t="e">
        <f t="shared" si="22"/>
        <v>#VALUE!</v>
      </c>
      <c r="D111" s="42" t="e">
        <f t="shared" si="23"/>
        <v>#VALUE!</v>
      </c>
      <c r="E111" s="49" t="e">
        <f t="shared" si="24"/>
        <v>#VALUE!</v>
      </c>
      <c r="F111" s="30" t="e">
        <f t="shared" si="17"/>
        <v>#VALUE!</v>
      </c>
      <c r="G111" s="49" t="e">
        <f t="shared" si="25"/>
        <v>#VALUE!</v>
      </c>
      <c r="H111" s="30" t="e">
        <f t="shared" si="18"/>
        <v>#VALUE!</v>
      </c>
      <c r="I111" s="30" t="e">
        <f t="shared" si="19"/>
        <v>#VALUE!</v>
      </c>
      <c r="J111" s="30" t="e">
        <f t="shared" si="20"/>
        <v>#VALUE!</v>
      </c>
      <c r="K111" s="33" t="e">
        <f t="shared" si="26"/>
        <v>#VALUE!</v>
      </c>
      <c r="L111" s="33" t="e">
        <f t="shared" si="21"/>
        <v>#VALUE!</v>
      </c>
      <c r="M111" s="33" t="e">
        <f t="shared" si="27"/>
        <v>#VALUE!</v>
      </c>
      <c r="N111" s="33" t="e">
        <f t="shared" si="28"/>
        <v>#VALUE!</v>
      </c>
      <c r="O111" s="33" t="e">
        <f t="shared" si="29"/>
        <v>#VALUE!</v>
      </c>
      <c r="P111" s="33" t="e">
        <f t="shared" si="30"/>
        <v>#VALUE!</v>
      </c>
      <c r="Q111" t="e">
        <f t="shared" si="31"/>
        <v>#VALUE!</v>
      </c>
    </row>
    <row r="112" spans="1:17" x14ac:dyDescent="0.15">
      <c r="A112" s="30">
        <v>11970845</v>
      </c>
      <c r="C112" s="42" t="e">
        <f t="shared" si="22"/>
        <v>#VALUE!</v>
      </c>
      <c r="D112" s="42" t="e">
        <f t="shared" si="23"/>
        <v>#VALUE!</v>
      </c>
      <c r="E112" s="49" t="e">
        <f t="shared" si="24"/>
        <v>#VALUE!</v>
      </c>
      <c r="F112" s="30" t="e">
        <f t="shared" si="17"/>
        <v>#VALUE!</v>
      </c>
      <c r="G112" s="49" t="e">
        <f t="shared" si="25"/>
        <v>#VALUE!</v>
      </c>
      <c r="H112" s="30" t="e">
        <f t="shared" si="18"/>
        <v>#VALUE!</v>
      </c>
      <c r="I112" s="30" t="e">
        <f t="shared" si="19"/>
        <v>#VALUE!</v>
      </c>
      <c r="J112" s="30" t="e">
        <f t="shared" si="20"/>
        <v>#VALUE!</v>
      </c>
      <c r="K112" s="33" t="e">
        <f t="shared" si="26"/>
        <v>#VALUE!</v>
      </c>
      <c r="L112" s="33" t="e">
        <f t="shared" si="21"/>
        <v>#VALUE!</v>
      </c>
      <c r="M112" s="33" t="e">
        <f t="shared" si="27"/>
        <v>#VALUE!</v>
      </c>
      <c r="N112" s="33" t="e">
        <f t="shared" si="28"/>
        <v>#VALUE!</v>
      </c>
      <c r="O112" s="33" t="e">
        <f t="shared" si="29"/>
        <v>#VALUE!</v>
      </c>
      <c r="P112" s="33" t="e">
        <f t="shared" si="30"/>
        <v>#VALUE!</v>
      </c>
      <c r="Q112" t="e">
        <f t="shared" si="31"/>
        <v>#VALUE!</v>
      </c>
    </row>
    <row r="113" spans="1:17" x14ac:dyDescent="0.15">
      <c r="A113" s="30">
        <v>11685450</v>
      </c>
      <c r="C113" s="42" t="e">
        <f t="shared" si="22"/>
        <v>#VALUE!</v>
      </c>
      <c r="D113" s="42" t="e">
        <f t="shared" si="23"/>
        <v>#VALUE!</v>
      </c>
      <c r="E113" s="49" t="e">
        <f t="shared" si="24"/>
        <v>#VALUE!</v>
      </c>
      <c r="F113" s="30" t="e">
        <f t="shared" si="17"/>
        <v>#VALUE!</v>
      </c>
      <c r="G113" s="49" t="e">
        <f t="shared" si="25"/>
        <v>#VALUE!</v>
      </c>
      <c r="H113" s="30" t="e">
        <f t="shared" si="18"/>
        <v>#VALUE!</v>
      </c>
      <c r="I113" s="30" t="e">
        <f t="shared" si="19"/>
        <v>#VALUE!</v>
      </c>
      <c r="J113" s="30" t="e">
        <f t="shared" si="20"/>
        <v>#VALUE!</v>
      </c>
      <c r="K113" s="33" t="e">
        <f t="shared" si="26"/>
        <v>#VALUE!</v>
      </c>
      <c r="L113" s="33" t="e">
        <f t="shared" si="21"/>
        <v>#VALUE!</v>
      </c>
      <c r="M113" s="33" t="e">
        <f t="shared" si="27"/>
        <v>#VALUE!</v>
      </c>
      <c r="N113" s="33" t="e">
        <f t="shared" si="28"/>
        <v>#VALUE!</v>
      </c>
      <c r="O113" s="33" t="e">
        <f t="shared" si="29"/>
        <v>#VALUE!</v>
      </c>
      <c r="P113" s="33" t="e">
        <f t="shared" si="30"/>
        <v>#VALUE!</v>
      </c>
      <c r="Q113" t="e">
        <f t="shared" si="31"/>
        <v>#VALUE!</v>
      </c>
    </row>
    <row r="114" spans="1:17" x14ac:dyDescent="0.15">
      <c r="A114" s="30">
        <v>12160887</v>
      </c>
      <c r="C114" s="42" t="e">
        <f t="shared" si="22"/>
        <v>#VALUE!</v>
      </c>
      <c r="D114" s="42" t="e">
        <f t="shared" si="23"/>
        <v>#VALUE!</v>
      </c>
      <c r="E114" s="49" t="e">
        <f t="shared" si="24"/>
        <v>#VALUE!</v>
      </c>
      <c r="F114" s="30" t="e">
        <f t="shared" si="17"/>
        <v>#VALUE!</v>
      </c>
      <c r="G114" s="49" t="e">
        <f t="shared" si="25"/>
        <v>#VALUE!</v>
      </c>
      <c r="H114" s="30" t="e">
        <f t="shared" si="18"/>
        <v>#VALUE!</v>
      </c>
      <c r="I114" s="30" t="e">
        <f t="shared" si="19"/>
        <v>#VALUE!</v>
      </c>
      <c r="J114" s="30" t="e">
        <f t="shared" si="20"/>
        <v>#VALUE!</v>
      </c>
      <c r="K114" s="33" t="e">
        <f t="shared" si="26"/>
        <v>#VALUE!</v>
      </c>
      <c r="L114" s="33" t="e">
        <f t="shared" si="21"/>
        <v>#VALUE!</v>
      </c>
      <c r="M114" s="33" t="e">
        <f t="shared" si="27"/>
        <v>#VALUE!</v>
      </c>
      <c r="N114" s="33" t="e">
        <f t="shared" si="28"/>
        <v>#VALUE!</v>
      </c>
      <c r="O114" s="33" t="e">
        <f t="shared" si="29"/>
        <v>#VALUE!</v>
      </c>
      <c r="P114" s="33" t="e">
        <f t="shared" si="30"/>
        <v>#VALUE!</v>
      </c>
      <c r="Q114" t="e">
        <f t="shared" si="31"/>
        <v>#VALUE!</v>
      </c>
    </row>
    <row r="115" spans="1:17" x14ac:dyDescent="0.15">
      <c r="A115" s="30">
        <v>98102027</v>
      </c>
      <c r="C115" s="42" t="e">
        <f t="shared" si="22"/>
        <v>#VALUE!</v>
      </c>
      <c r="D115" s="42" t="e">
        <f t="shared" si="23"/>
        <v>#VALUE!</v>
      </c>
      <c r="E115" s="49" t="e">
        <f t="shared" si="24"/>
        <v>#VALUE!</v>
      </c>
      <c r="F115" s="30" t="e">
        <f t="shared" si="17"/>
        <v>#VALUE!</v>
      </c>
      <c r="G115" s="49" t="e">
        <f t="shared" si="25"/>
        <v>#VALUE!</v>
      </c>
      <c r="H115" s="30" t="e">
        <f t="shared" si="18"/>
        <v>#VALUE!</v>
      </c>
      <c r="I115" s="30" t="e">
        <f t="shared" si="19"/>
        <v>#VALUE!</v>
      </c>
      <c r="J115" s="30" t="e">
        <f t="shared" si="20"/>
        <v>#VALUE!</v>
      </c>
      <c r="K115" s="33" t="e">
        <f t="shared" si="26"/>
        <v>#VALUE!</v>
      </c>
      <c r="L115" s="33" t="e">
        <f t="shared" si="21"/>
        <v>#VALUE!</v>
      </c>
      <c r="M115" s="33" t="e">
        <f t="shared" si="27"/>
        <v>#VALUE!</v>
      </c>
      <c r="N115" s="33" t="e">
        <f t="shared" si="28"/>
        <v>#VALUE!</v>
      </c>
      <c r="O115" s="33" t="e">
        <f t="shared" si="29"/>
        <v>#VALUE!</v>
      </c>
      <c r="P115" s="33" t="e">
        <f t="shared" si="30"/>
        <v>#VALUE!</v>
      </c>
      <c r="Q115" t="e">
        <f t="shared" si="31"/>
        <v>#VALUE!</v>
      </c>
    </row>
    <row r="116" spans="1:17" x14ac:dyDescent="0.15">
      <c r="A116" s="30">
        <v>98111596</v>
      </c>
      <c r="C116" s="42" t="e">
        <f t="shared" si="22"/>
        <v>#VALUE!</v>
      </c>
      <c r="D116" s="42" t="e">
        <f t="shared" si="23"/>
        <v>#VALUE!</v>
      </c>
      <c r="E116" s="49" t="e">
        <f t="shared" si="24"/>
        <v>#VALUE!</v>
      </c>
      <c r="F116" s="30" t="e">
        <f t="shared" si="17"/>
        <v>#VALUE!</v>
      </c>
      <c r="G116" s="49" t="e">
        <f t="shared" si="25"/>
        <v>#VALUE!</v>
      </c>
      <c r="H116" s="30" t="e">
        <f t="shared" si="18"/>
        <v>#VALUE!</v>
      </c>
      <c r="I116" s="30" t="e">
        <f t="shared" si="19"/>
        <v>#VALUE!</v>
      </c>
      <c r="J116" s="30" t="e">
        <f t="shared" si="20"/>
        <v>#VALUE!</v>
      </c>
      <c r="K116" s="33" t="e">
        <f t="shared" si="26"/>
        <v>#VALUE!</v>
      </c>
      <c r="L116" s="33" t="e">
        <f t="shared" si="21"/>
        <v>#VALUE!</v>
      </c>
      <c r="M116" s="33" t="e">
        <f t="shared" si="27"/>
        <v>#VALUE!</v>
      </c>
      <c r="N116" s="33" t="e">
        <f t="shared" si="28"/>
        <v>#VALUE!</v>
      </c>
      <c r="O116" s="33" t="e">
        <f t="shared" si="29"/>
        <v>#VALUE!</v>
      </c>
      <c r="P116" s="33" t="e">
        <f t="shared" si="30"/>
        <v>#VALUE!</v>
      </c>
      <c r="Q116" t="e">
        <f t="shared" si="31"/>
        <v>#VALUE!</v>
      </c>
    </row>
    <row r="117" spans="1:17" x14ac:dyDescent="0.15">
      <c r="A117" s="30">
        <v>11699358</v>
      </c>
      <c r="C117" s="42" t="e">
        <f t="shared" si="22"/>
        <v>#VALUE!</v>
      </c>
      <c r="D117" s="42" t="e">
        <f t="shared" si="23"/>
        <v>#VALUE!</v>
      </c>
      <c r="E117" s="49" t="e">
        <f t="shared" si="24"/>
        <v>#VALUE!</v>
      </c>
      <c r="F117" s="30" t="e">
        <f t="shared" si="17"/>
        <v>#VALUE!</v>
      </c>
      <c r="G117" s="49" t="e">
        <f t="shared" si="25"/>
        <v>#VALUE!</v>
      </c>
      <c r="H117" s="30" t="e">
        <f t="shared" si="18"/>
        <v>#VALUE!</v>
      </c>
      <c r="I117" s="30" t="e">
        <f t="shared" si="19"/>
        <v>#VALUE!</v>
      </c>
      <c r="J117" s="30" t="e">
        <f t="shared" si="20"/>
        <v>#VALUE!</v>
      </c>
      <c r="K117" s="33" t="e">
        <f t="shared" si="26"/>
        <v>#VALUE!</v>
      </c>
      <c r="L117" s="33" t="e">
        <f t="shared" si="21"/>
        <v>#VALUE!</v>
      </c>
      <c r="M117" s="33" t="e">
        <f t="shared" si="27"/>
        <v>#VALUE!</v>
      </c>
      <c r="N117" s="33" t="e">
        <f t="shared" si="28"/>
        <v>#VALUE!</v>
      </c>
      <c r="O117" s="33" t="e">
        <f t="shared" si="29"/>
        <v>#VALUE!</v>
      </c>
      <c r="P117" s="33" t="e">
        <f t="shared" si="30"/>
        <v>#VALUE!</v>
      </c>
      <c r="Q117" t="e">
        <f t="shared" si="31"/>
        <v>#VALUE!</v>
      </c>
    </row>
    <row r="118" spans="1:17" x14ac:dyDescent="0.15">
      <c r="A118" s="30">
        <v>97116661</v>
      </c>
      <c r="C118" s="42" t="e">
        <f t="shared" si="22"/>
        <v>#VALUE!</v>
      </c>
      <c r="D118" s="42" t="e">
        <f t="shared" si="23"/>
        <v>#VALUE!</v>
      </c>
      <c r="E118" s="49" t="e">
        <f t="shared" si="24"/>
        <v>#VALUE!</v>
      </c>
      <c r="F118" s="30" t="e">
        <f t="shared" si="17"/>
        <v>#VALUE!</v>
      </c>
      <c r="G118" s="49" t="e">
        <f t="shared" si="25"/>
        <v>#VALUE!</v>
      </c>
      <c r="H118" s="30" t="e">
        <f t="shared" si="18"/>
        <v>#VALUE!</v>
      </c>
      <c r="I118" s="30" t="e">
        <f t="shared" si="19"/>
        <v>#VALUE!</v>
      </c>
      <c r="J118" s="30" t="e">
        <f t="shared" si="20"/>
        <v>#VALUE!</v>
      </c>
      <c r="K118" s="33" t="e">
        <f t="shared" si="26"/>
        <v>#VALUE!</v>
      </c>
      <c r="L118" s="33" t="e">
        <f t="shared" si="21"/>
        <v>#VALUE!</v>
      </c>
      <c r="M118" s="33" t="e">
        <f t="shared" si="27"/>
        <v>#VALUE!</v>
      </c>
      <c r="N118" s="33" t="e">
        <f t="shared" si="28"/>
        <v>#VALUE!</v>
      </c>
      <c r="O118" s="33" t="e">
        <f t="shared" si="29"/>
        <v>#VALUE!</v>
      </c>
      <c r="P118" s="33" t="e">
        <f t="shared" si="30"/>
        <v>#VALUE!</v>
      </c>
      <c r="Q118" t="e">
        <f t="shared" si="31"/>
        <v>#VALUE!</v>
      </c>
    </row>
    <row r="119" spans="1:17" x14ac:dyDescent="0.15">
      <c r="A119" s="30">
        <v>12510677</v>
      </c>
      <c r="C119" s="42" t="e">
        <f t="shared" si="22"/>
        <v>#VALUE!</v>
      </c>
      <c r="D119" s="42" t="e">
        <f t="shared" si="23"/>
        <v>#VALUE!</v>
      </c>
      <c r="E119" s="49" t="e">
        <f t="shared" si="24"/>
        <v>#VALUE!</v>
      </c>
      <c r="F119" s="30" t="e">
        <f t="shared" si="17"/>
        <v>#VALUE!</v>
      </c>
      <c r="G119" s="49" t="e">
        <f t="shared" si="25"/>
        <v>#VALUE!</v>
      </c>
      <c r="H119" s="30" t="e">
        <f t="shared" si="18"/>
        <v>#VALUE!</v>
      </c>
      <c r="I119" s="30" t="e">
        <f t="shared" si="19"/>
        <v>#VALUE!</v>
      </c>
      <c r="J119" s="30" t="e">
        <f t="shared" si="20"/>
        <v>#VALUE!</v>
      </c>
      <c r="K119" s="33" t="e">
        <f t="shared" si="26"/>
        <v>#VALUE!</v>
      </c>
      <c r="L119" s="33" t="e">
        <f t="shared" si="21"/>
        <v>#VALUE!</v>
      </c>
      <c r="M119" s="33" t="e">
        <f t="shared" si="27"/>
        <v>#VALUE!</v>
      </c>
      <c r="N119" s="33" t="e">
        <f t="shared" si="28"/>
        <v>#VALUE!</v>
      </c>
      <c r="O119" s="33" t="e">
        <f t="shared" si="29"/>
        <v>#VALUE!</v>
      </c>
      <c r="P119" s="33" t="e">
        <f t="shared" si="30"/>
        <v>#VALUE!</v>
      </c>
      <c r="Q119" t="e">
        <f t="shared" si="31"/>
        <v>#VALUE!</v>
      </c>
    </row>
    <row r="120" spans="1:17" x14ac:dyDescent="0.15">
      <c r="A120" s="30">
        <v>11241546</v>
      </c>
      <c r="C120" s="42" t="e">
        <f t="shared" si="22"/>
        <v>#VALUE!</v>
      </c>
      <c r="D120" s="42" t="e">
        <f t="shared" si="23"/>
        <v>#VALUE!</v>
      </c>
      <c r="E120" s="49" t="e">
        <f t="shared" si="24"/>
        <v>#VALUE!</v>
      </c>
      <c r="F120" s="30" t="e">
        <f t="shared" si="17"/>
        <v>#VALUE!</v>
      </c>
      <c r="G120" s="49" t="e">
        <f t="shared" si="25"/>
        <v>#VALUE!</v>
      </c>
      <c r="H120" s="30" t="e">
        <f t="shared" si="18"/>
        <v>#VALUE!</v>
      </c>
      <c r="I120" s="30" t="e">
        <f t="shared" si="19"/>
        <v>#VALUE!</v>
      </c>
      <c r="J120" s="30" t="e">
        <f t="shared" si="20"/>
        <v>#VALUE!</v>
      </c>
      <c r="K120" s="33" t="e">
        <f t="shared" si="26"/>
        <v>#VALUE!</v>
      </c>
      <c r="L120" s="33" t="e">
        <f t="shared" si="21"/>
        <v>#VALUE!</v>
      </c>
      <c r="M120" s="33" t="e">
        <f t="shared" si="27"/>
        <v>#VALUE!</v>
      </c>
      <c r="N120" s="33" t="e">
        <f t="shared" si="28"/>
        <v>#VALUE!</v>
      </c>
      <c r="O120" s="33" t="e">
        <f t="shared" si="29"/>
        <v>#VALUE!</v>
      </c>
      <c r="P120" s="33" t="e">
        <f t="shared" si="30"/>
        <v>#VALUE!</v>
      </c>
      <c r="Q120" t="e">
        <f t="shared" si="31"/>
        <v>#VALUE!</v>
      </c>
    </row>
    <row r="121" spans="1:17" x14ac:dyDescent="0.15">
      <c r="A121" s="30">
        <v>12081511</v>
      </c>
      <c r="C121" s="42" t="e">
        <f t="shared" si="22"/>
        <v>#VALUE!</v>
      </c>
      <c r="D121" s="42" t="e">
        <f t="shared" si="23"/>
        <v>#VALUE!</v>
      </c>
      <c r="E121" s="49" t="e">
        <f t="shared" si="24"/>
        <v>#VALUE!</v>
      </c>
      <c r="F121" s="30" t="e">
        <f t="shared" si="17"/>
        <v>#VALUE!</v>
      </c>
      <c r="G121" s="49" t="e">
        <f t="shared" si="25"/>
        <v>#VALUE!</v>
      </c>
      <c r="H121" s="30" t="e">
        <f t="shared" si="18"/>
        <v>#VALUE!</v>
      </c>
      <c r="I121" s="30" t="e">
        <f t="shared" si="19"/>
        <v>#VALUE!</v>
      </c>
      <c r="J121" s="30" t="e">
        <f t="shared" si="20"/>
        <v>#VALUE!</v>
      </c>
      <c r="K121" s="33" t="e">
        <f t="shared" si="26"/>
        <v>#VALUE!</v>
      </c>
      <c r="L121" s="33" t="e">
        <f t="shared" si="21"/>
        <v>#VALUE!</v>
      </c>
      <c r="M121" s="33" t="e">
        <f t="shared" si="27"/>
        <v>#VALUE!</v>
      </c>
      <c r="N121" s="33" t="e">
        <f t="shared" si="28"/>
        <v>#VALUE!</v>
      </c>
      <c r="O121" s="33" t="e">
        <f t="shared" si="29"/>
        <v>#VALUE!</v>
      </c>
      <c r="P121" s="33" t="e">
        <f t="shared" si="30"/>
        <v>#VALUE!</v>
      </c>
      <c r="Q121" t="e">
        <f t="shared" si="31"/>
        <v>#VALUE!</v>
      </c>
    </row>
    <row r="122" spans="1:17" x14ac:dyDescent="0.15">
      <c r="A122" s="30">
        <v>99160400</v>
      </c>
      <c r="C122" s="42" t="e">
        <f t="shared" si="22"/>
        <v>#VALUE!</v>
      </c>
      <c r="D122" s="42" t="e">
        <f t="shared" si="23"/>
        <v>#VALUE!</v>
      </c>
      <c r="E122" s="49" t="e">
        <f t="shared" si="24"/>
        <v>#VALUE!</v>
      </c>
      <c r="F122" s="30" t="e">
        <f t="shared" si="17"/>
        <v>#VALUE!</v>
      </c>
      <c r="G122" s="49" t="e">
        <f t="shared" si="25"/>
        <v>#VALUE!</v>
      </c>
      <c r="H122" s="30" t="e">
        <f t="shared" si="18"/>
        <v>#VALUE!</v>
      </c>
      <c r="I122" s="30" t="e">
        <f t="shared" si="19"/>
        <v>#VALUE!</v>
      </c>
      <c r="J122" s="30" t="e">
        <f t="shared" si="20"/>
        <v>#VALUE!</v>
      </c>
      <c r="K122" s="33" t="e">
        <f t="shared" si="26"/>
        <v>#VALUE!</v>
      </c>
      <c r="L122" s="33" t="e">
        <f t="shared" si="21"/>
        <v>#VALUE!</v>
      </c>
      <c r="M122" s="33" t="e">
        <f t="shared" si="27"/>
        <v>#VALUE!</v>
      </c>
      <c r="N122" s="33" t="e">
        <f t="shared" si="28"/>
        <v>#VALUE!</v>
      </c>
      <c r="O122" s="33" t="e">
        <f t="shared" si="29"/>
        <v>#VALUE!</v>
      </c>
      <c r="P122" s="33" t="e">
        <f t="shared" si="30"/>
        <v>#VALUE!</v>
      </c>
      <c r="Q122" t="e">
        <f t="shared" si="31"/>
        <v>#VALUE!</v>
      </c>
    </row>
    <row r="123" spans="1:17" x14ac:dyDescent="0.15">
      <c r="A123" s="30">
        <v>12796355</v>
      </c>
      <c r="C123" s="42" t="e">
        <f t="shared" si="22"/>
        <v>#VALUE!</v>
      </c>
      <c r="D123" s="42" t="e">
        <f t="shared" si="23"/>
        <v>#VALUE!</v>
      </c>
      <c r="E123" s="49" t="e">
        <f t="shared" si="24"/>
        <v>#VALUE!</v>
      </c>
      <c r="F123" s="30" t="e">
        <f t="shared" si="17"/>
        <v>#VALUE!</v>
      </c>
      <c r="G123" s="49" t="e">
        <f t="shared" si="25"/>
        <v>#VALUE!</v>
      </c>
      <c r="H123" s="30" t="e">
        <f t="shared" si="18"/>
        <v>#VALUE!</v>
      </c>
      <c r="I123" s="30" t="e">
        <f t="shared" si="19"/>
        <v>#VALUE!</v>
      </c>
      <c r="J123" s="30" t="e">
        <f t="shared" si="20"/>
        <v>#VALUE!</v>
      </c>
      <c r="K123" s="33" t="e">
        <f t="shared" si="26"/>
        <v>#VALUE!</v>
      </c>
      <c r="L123" s="33" t="e">
        <f t="shared" si="21"/>
        <v>#VALUE!</v>
      </c>
      <c r="M123" s="33" t="e">
        <f t="shared" si="27"/>
        <v>#VALUE!</v>
      </c>
      <c r="N123" s="33" t="e">
        <f t="shared" si="28"/>
        <v>#VALUE!</v>
      </c>
      <c r="O123" s="33" t="e">
        <f t="shared" si="29"/>
        <v>#VALUE!</v>
      </c>
      <c r="P123" s="33" t="e">
        <f t="shared" si="30"/>
        <v>#VALUE!</v>
      </c>
      <c r="Q123" t="e">
        <f t="shared" si="31"/>
        <v>#VALUE!</v>
      </c>
    </row>
    <row r="124" spans="1:17" x14ac:dyDescent="0.15">
      <c r="A124" s="30">
        <v>11556469</v>
      </c>
      <c r="C124" s="42" t="e">
        <f t="shared" si="22"/>
        <v>#VALUE!</v>
      </c>
      <c r="D124" s="42" t="e">
        <f t="shared" si="23"/>
        <v>#VALUE!</v>
      </c>
      <c r="E124" s="49" t="e">
        <f t="shared" si="24"/>
        <v>#VALUE!</v>
      </c>
      <c r="F124" s="30" t="e">
        <f t="shared" si="17"/>
        <v>#VALUE!</v>
      </c>
      <c r="G124" s="49" t="e">
        <f t="shared" si="25"/>
        <v>#VALUE!</v>
      </c>
      <c r="H124" s="30" t="e">
        <f t="shared" si="18"/>
        <v>#VALUE!</v>
      </c>
      <c r="I124" s="30" t="e">
        <f t="shared" si="19"/>
        <v>#VALUE!</v>
      </c>
      <c r="J124" s="30" t="e">
        <f t="shared" si="20"/>
        <v>#VALUE!</v>
      </c>
      <c r="K124" s="33" t="e">
        <f t="shared" si="26"/>
        <v>#VALUE!</v>
      </c>
      <c r="L124" s="33" t="e">
        <f t="shared" si="21"/>
        <v>#VALUE!</v>
      </c>
      <c r="M124" s="33" t="e">
        <f t="shared" si="27"/>
        <v>#VALUE!</v>
      </c>
      <c r="N124" s="33" t="e">
        <f t="shared" si="28"/>
        <v>#VALUE!</v>
      </c>
      <c r="O124" s="33" t="e">
        <f t="shared" si="29"/>
        <v>#VALUE!</v>
      </c>
      <c r="P124" s="33" t="e">
        <f t="shared" si="30"/>
        <v>#VALUE!</v>
      </c>
      <c r="Q124" t="e">
        <f t="shared" si="31"/>
        <v>#VALUE!</v>
      </c>
    </row>
    <row r="125" spans="1:17" x14ac:dyDescent="0.15">
      <c r="A125" s="30">
        <v>99148746</v>
      </c>
      <c r="C125" s="42" t="e">
        <f t="shared" si="22"/>
        <v>#VALUE!</v>
      </c>
      <c r="D125" s="42" t="e">
        <f t="shared" si="23"/>
        <v>#VALUE!</v>
      </c>
      <c r="E125" s="49" t="e">
        <f t="shared" si="24"/>
        <v>#VALUE!</v>
      </c>
      <c r="F125" s="30" t="e">
        <f t="shared" si="17"/>
        <v>#VALUE!</v>
      </c>
      <c r="G125" s="49" t="e">
        <f t="shared" si="25"/>
        <v>#VALUE!</v>
      </c>
      <c r="H125" s="30" t="e">
        <f t="shared" si="18"/>
        <v>#VALUE!</v>
      </c>
      <c r="I125" s="30" t="e">
        <f t="shared" si="19"/>
        <v>#VALUE!</v>
      </c>
      <c r="J125" s="30" t="e">
        <f t="shared" si="20"/>
        <v>#VALUE!</v>
      </c>
      <c r="K125" s="33" t="e">
        <f t="shared" si="26"/>
        <v>#VALUE!</v>
      </c>
      <c r="L125" s="33" t="e">
        <f t="shared" si="21"/>
        <v>#VALUE!</v>
      </c>
      <c r="M125" s="33" t="e">
        <f t="shared" si="27"/>
        <v>#VALUE!</v>
      </c>
      <c r="N125" s="33" t="e">
        <f t="shared" si="28"/>
        <v>#VALUE!</v>
      </c>
      <c r="O125" s="33" t="e">
        <f t="shared" si="29"/>
        <v>#VALUE!</v>
      </c>
      <c r="P125" s="33" t="e">
        <f t="shared" si="30"/>
        <v>#VALUE!</v>
      </c>
      <c r="Q125" t="e">
        <f t="shared" si="31"/>
        <v>#VALUE!</v>
      </c>
    </row>
    <row r="126" spans="1:17" x14ac:dyDescent="0.15">
      <c r="A126" s="30">
        <v>11668035</v>
      </c>
      <c r="C126" s="42" t="e">
        <f t="shared" si="22"/>
        <v>#VALUE!</v>
      </c>
      <c r="D126" s="42" t="e">
        <f t="shared" si="23"/>
        <v>#VALUE!</v>
      </c>
      <c r="E126" s="49" t="e">
        <f t="shared" si="24"/>
        <v>#VALUE!</v>
      </c>
      <c r="F126" s="30" t="e">
        <f t="shared" si="17"/>
        <v>#VALUE!</v>
      </c>
      <c r="G126" s="49" t="e">
        <f t="shared" si="25"/>
        <v>#VALUE!</v>
      </c>
      <c r="H126" s="30" t="e">
        <f t="shared" si="18"/>
        <v>#VALUE!</v>
      </c>
      <c r="I126" s="30" t="e">
        <f t="shared" si="19"/>
        <v>#VALUE!</v>
      </c>
      <c r="J126" s="30" t="e">
        <f t="shared" si="20"/>
        <v>#VALUE!</v>
      </c>
      <c r="K126" s="33" t="e">
        <f t="shared" si="26"/>
        <v>#VALUE!</v>
      </c>
      <c r="L126" s="33" t="e">
        <f t="shared" si="21"/>
        <v>#VALUE!</v>
      </c>
      <c r="M126" s="33" t="e">
        <f t="shared" si="27"/>
        <v>#VALUE!</v>
      </c>
      <c r="N126" s="33" t="e">
        <f t="shared" si="28"/>
        <v>#VALUE!</v>
      </c>
      <c r="O126" s="33" t="e">
        <f t="shared" si="29"/>
        <v>#VALUE!</v>
      </c>
      <c r="P126" s="33" t="e">
        <f t="shared" si="30"/>
        <v>#VALUE!</v>
      </c>
      <c r="Q126" t="e">
        <f t="shared" si="31"/>
        <v>#VALUE!</v>
      </c>
    </row>
    <row r="127" spans="1:17" x14ac:dyDescent="0.15">
      <c r="A127" s="30">
        <v>11583642</v>
      </c>
      <c r="C127" s="42" t="e">
        <f t="shared" si="22"/>
        <v>#VALUE!</v>
      </c>
      <c r="D127" s="42" t="e">
        <f t="shared" si="23"/>
        <v>#VALUE!</v>
      </c>
      <c r="E127" s="49" t="e">
        <f t="shared" si="24"/>
        <v>#VALUE!</v>
      </c>
      <c r="F127" s="30" t="e">
        <f t="shared" si="17"/>
        <v>#VALUE!</v>
      </c>
      <c r="G127" s="49" t="e">
        <f t="shared" si="25"/>
        <v>#VALUE!</v>
      </c>
      <c r="H127" s="30" t="e">
        <f t="shared" si="18"/>
        <v>#VALUE!</v>
      </c>
      <c r="I127" s="30" t="e">
        <f t="shared" si="19"/>
        <v>#VALUE!</v>
      </c>
      <c r="J127" s="30" t="e">
        <f t="shared" si="20"/>
        <v>#VALUE!</v>
      </c>
      <c r="K127" s="33" t="e">
        <f t="shared" si="26"/>
        <v>#VALUE!</v>
      </c>
      <c r="L127" s="33" t="e">
        <f t="shared" si="21"/>
        <v>#VALUE!</v>
      </c>
      <c r="M127" s="33" t="e">
        <f t="shared" si="27"/>
        <v>#VALUE!</v>
      </c>
      <c r="N127" s="33" t="e">
        <f t="shared" si="28"/>
        <v>#VALUE!</v>
      </c>
      <c r="O127" s="33" t="e">
        <f t="shared" si="29"/>
        <v>#VALUE!</v>
      </c>
      <c r="P127" s="33" t="e">
        <f t="shared" si="30"/>
        <v>#VALUE!</v>
      </c>
      <c r="Q127" t="e">
        <f t="shared" si="31"/>
        <v>#VALUE!</v>
      </c>
    </row>
    <row r="128" spans="1:17" x14ac:dyDescent="0.15">
      <c r="A128" s="30">
        <v>98061310</v>
      </c>
      <c r="C128" s="42" t="e">
        <f t="shared" si="22"/>
        <v>#VALUE!</v>
      </c>
      <c r="D128" s="42" t="e">
        <f t="shared" si="23"/>
        <v>#VALUE!</v>
      </c>
      <c r="E128" s="49" t="e">
        <f t="shared" si="24"/>
        <v>#VALUE!</v>
      </c>
      <c r="F128" s="30" t="e">
        <f t="shared" si="17"/>
        <v>#VALUE!</v>
      </c>
      <c r="G128" s="49" t="e">
        <f t="shared" si="25"/>
        <v>#VALUE!</v>
      </c>
      <c r="H128" s="30" t="e">
        <f t="shared" si="18"/>
        <v>#VALUE!</v>
      </c>
      <c r="I128" s="30" t="e">
        <f t="shared" si="19"/>
        <v>#VALUE!</v>
      </c>
      <c r="J128" s="30" t="e">
        <f t="shared" si="20"/>
        <v>#VALUE!</v>
      </c>
      <c r="K128" s="33" t="e">
        <f t="shared" si="26"/>
        <v>#VALUE!</v>
      </c>
      <c r="L128" s="33" t="e">
        <f t="shared" si="21"/>
        <v>#VALUE!</v>
      </c>
      <c r="M128" s="33" t="e">
        <f t="shared" si="27"/>
        <v>#VALUE!</v>
      </c>
      <c r="N128" s="33" t="e">
        <f t="shared" si="28"/>
        <v>#VALUE!</v>
      </c>
      <c r="O128" s="33" t="e">
        <f t="shared" si="29"/>
        <v>#VALUE!</v>
      </c>
      <c r="P128" s="33" t="e">
        <f t="shared" si="30"/>
        <v>#VALUE!</v>
      </c>
      <c r="Q128" t="e">
        <f t="shared" si="31"/>
        <v>#VALUE!</v>
      </c>
    </row>
    <row r="129" spans="1:17" x14ac:dyDescent="0.15">
      <c r="A129" s="30">
        <v>98049947</v>
      </c>
      <c r="C129" s="42" t="e">
        <f t="shared" si="22"/>
        <v>#VALUE!</v>
      </c>
      <c r="D129" s="42" t="e">
        <f t="shared" si="23"/>
        <v>#VALUE!</v>
      </c>
      <c r="E129" s="49" t="e">
        <f t="shared" si="24"/>
        <v>#VALUE!</v>
      </c>
      <c r="F129" s="30" t="e">
        <f t="shared" si="17"/>
        <v>#VALUE!</v>
      </c>
      <c r="G129" s="49" t="e">
        <f t="shared" si="25"/>
        <v>#VALUE!</v>
      </c>
      <c r="H129" s="30" t="e">
        <f t="shared" si="18"/>
        <v>#VALUE!</v>
      </c>
      <c r="I129" s="30" t="e">
        <f t="shared" si="19"/>
        <v>#VALUE!</v>
      </c>
      <c r="J129" s="30" t="e">
        <f t="shared" si="20"/>
        <v>#VALUE!</v>
      </c>
      <c r="K129" s="33" t="e">
        <f t="shared" si="26"/>
        <v>#VALUE!</v>
      </c>
      <c r="L129" s="33" t="e">
        <f t="shared" si="21"/>
        <v>#VALUE!</v>
      </c>
      <c r="M129" s="33" t="e">
        <f t="shared" si="27"/>
        <v>#VALUE!</v>
      </c>
      <c r="N129" s="33" t="e">
        <f t="shared" si="28"/>
        <v>#VALUE!</v>
      </c>
      <c r="O129" s="33" t="e">
        <f t="shared" si="29"/>
        <v>#VALUE!</v>
      </c>
      <c r="P129" s="33" t="e">
        <f t="shared" si="30"/>
        <v>#VALUE!</v>
      </c>
      <c r="Q129" t="e">
        <f t="shared" si="31"/>
        <v>#VALUE!</v>
      </c>
    </row>
    <row r="130" spans="1:17" x14ac:dyDescent="0.15">
      <c r="A130" s="30">
        <v>12021236</v>
      </c>
      <c r="C130" s="42" t="e">
        <f t="shared" si="22"/>
        <v>#VALUE!</v>
      </c>
      <c r="D130" s="42" t="e">
        <f t="shared" si="23"/>
        <v>#VALUE!</v>
      </c>
      <c r="E130" s="49" t="e">
        <f t="shared" si="24"/>
        <v>#VALUE!</v>
      </c>
      <c r="F130" s="30" t="e">
        <f t="shared" si="17"/>
        <v>#VALUE!</v>
      </c>
      <c r="G130" s="49" t="e">
        <f t="shared" si="25"/>
        <v>#VALUE!</v>
      </c>
      <c r="H130" s="30" t="e">
        <f t="shared" si="18"/>
        <v>#VALUE!</v>
      </c>
      <c r="I130" s="30" t="e">
        <f t="shared" si="19"/>
        <v>#VALUE!</v>
      </c>
      <c r="J130" s="30" t="e">
        <f t="shared" si="20"/>
        <v>#VALUE!</v>
      </c>
      <c r="K130" s="33" t="e">
        <f t="shared" si="26"/>
        <v>#VALUE!</v>
      </c>
      <c r="L130" s="33" t="e">
        <f t="shared" si="21"/>
        <v>#VALUE!</v>
      </c>
      <c r="M130" s="33" t="e">
        <f t="shared" si="27"/>
        <v>#VALUE!</v>
      </c>
      <c r="N130" s="33" t="e">
        <f t="shared" si="28"/>
        <v>#VALUE!</v>
      </c>
      <c r="O130" s="33" t="e">
        <f t="shared" si="29"/>
        <v>#VALUE!</v>
      </c>
      <c r="P130" s="33" t="e">
        <f t="shared" si="30"/>
        <v>#VALUE!</v>
      </c>
      <c r="Q130" t="e">
        <f t="shared" si="31"/>
        <v>#VALUE!</v>
      </c>
    </row>
    <row r="131" spans="1:17" x14ac:dyDescent="0.15">
      <c r="A131" s="30">
        <v>11817210</v>
      </c>
      <c r="C131" s="42" t="e">
        <f t="shared" si="22"/>
        <v>#VALUE!</v>
      </c>
      <c r="D131" s="42" t="e">
        <f t="shared" si="23"/>
        <v>#VALUE!</v>
      </c>
      <c r="E131" s="49" t="e">
        <f t="shared" si="24"/>
        <v>#VALUE!</v>
      </c>
      <c r="F131" s="30" t="e">
        <f t="shared" si="17"/>
        <v>#VALUE!</v>
      </c>
      <c r="G131" s="49" t="e">
        <f t="shared" si="25"/>
        <v>#VALUE!</v>
      </c>
      <c r="H131" s="30" t="e">
        <f t="shared" si="18"/>
        <v>#VALUE!</v>
      </c>
      <c r="I131" s="30" t="e">
        <f t="shared" si="19"/>
        <v>#VALUE!</v>
      </c>
      <c r="J131" s="30" t="e">
        <f t="shared" si="20"/>
        <v>#VALUE!</v>
      </c>
      <c r="K131" s="33" t="e">
        <f t="shared" si="26"/>
        <v>#VALUE!</v>
      </c>
      <c r="L131" s="33" t="e">
        <f t="shared" si="21"/>
        <v>#VALUE!</v>
      </c>
      <c r="M131" s="33" t="e">
        <f t="shared" si="27"/>
        <v>#VALUE!</v>
      </c>
      <c r="N131" s="33" t="e">
        <f t="shared" si="28"/>
        <v>#VALUE!</v>
      </c>
      <c r="O131" s="33" t="e">
        <f t="shared" si="29"/>
        <v>#VALUE!</v>
      </c>
      <c r="P131" s="33" t="e">
        <f t="shared" si="30"/>
        <v>#VALUE!</v>
      </c>
      <c r="Q131" t="e">
        <f t="shared" si="31"/>
        <v>#VALUE!</v>
      </c>
    </row>
    <row r="132" spans="1:17" x14ac:dyDescent="0.15">
      <c r="A132" s="30">
        <v>11814922</v>
      </c>
      <c r="C132" s="42" t="e">
        <f t="shared" si="22"/>
        <v>#VALUE!</v>
      </c>
      <c r="D132" s="42" t="e">
        <f t="shared" si="23"/>
        <v>#VALUE!</v>
      </c>
      <c r="E132" s="49" t="e">
        <f t="shared" si="24"/>
        <v>#VALUE!</v>
      </c>
      <c r="F132" s="30" t="e">
        <f t="shared" ref="F132:F195" si="32">StudentInput(A132,$T$9,$U$9,$V$9,$W$9,$X$9)</f>
        <v>#VALUE!</v>
      </c>
      <c r="G132" s="49" t="e">
        <f t="shared" si="25"/>
        <v>#VALUE!</v>
      </c>
      <c r="H132" s="30" t="e">
        <f t="shared" ref="H132:H195" si="33">StudentInput(A132,$T$11,$U$11,$V$11,$W$11,$X$11)</f>
        <v>#VALUE!</v>
      </c>
      <c r="I132" s="30" t="e">
        <f t="shared" ref="I132:I195" si="34">StudentInput(A132,$T$12,$U$12,$V$12,$W$12,$X$12)</f>
        <v>#VALUE!</v>
      </c>
      <c r="J132" s="30" t="e">
        <f t="shared" ref="J132:J195" si="35">StudentInput(A132,$T$13,$U$13,$V$13,$W$13,$X$13)</f>
        <v>#VALUE!</v>
      </c>
      <c r="K132" s="33" t="e">
        <f t="shared" si="26"/>
        <v>#VALUE!</v>
      </c>
      <c r="L132" s="33" t="e">
        <f t="shared" ref="L132:L195" si="36">(I132*G132*(F132+0.5*G132)+PP*(F132+G132+H132))/(F132+G132)</f>
        <v>#VALUE!</v>
      </c>
      <c r="M132" s="33" t="e">
        <f t="shared" si="27"/>
        <v>#VALUE!</v>
      </c>
      <c r="N132" s="33" t="e">
        <f t="shared" si="28"/>
        <v>#VALUE!</v>
      </c>
      <c r="O132" s="33" t="e">
        <f t="shared" si="29"/>
        <v>#VALUE!</v>
      </c>
      <c r="P132" s="33" t="e">
        <f t="shared" si="30"/>
        <v>#VALUE!</v>
      </c>
      <c r="Q132" t="e">
        <f t="shared" si="31"/>
        <v>#VALUE!</v>
      </c>
    </row>
    <row r="133" spans="1:17" x14ac:dyDescent="0.15">
      <c r="A133" s="30">
        <v>99143214</v>
      </c>
      <c r="C133" s="42" t="e">
        <f t="shared" ref="C133:C196" si="37">E133/F133</f>
        <v>#VALUE!</v>
      </c>
      <c r="D133" s="42" t="e">
        <f t="shared" ref="D133:D196" si="38">G133/F133</f>
        <v>#VALUE!</v>
      </c>
      <c r="E133" s="49" t="e">
        <f t="shared" ref="E133:E196" si="39">ROUND(F133*StudentInput(A133,$T$6,$U$6,$V$6,$W$6,$X$6),1)</f>
        <v>#VALUE!</v>
      </c>
      <c r="F133" s="30" t="e">
        <f t="shared" si="32"/>
        <v>#VALUE!</v>
      </c>
      <c r="G133" s="49" t="e">
        <f t="shared" ref="G133:G196" si="40">ROUND(F133*StudentInput($A133,$T$7,$U$7,$V$7,$W$7,$X$7),1)</f>
        <v>#VALUE!</v>
      </c>
      <c r="H133" s="30" t="e">
        <f t="shared" si="33"/>
        <v>#VALUE!</v>
      </c>
      <c r="I133" s="30" t="e">
        <f t="shared" si="34"/>
        <v>#VALUE!</v>
      </c>
      <c r="J133" s="30" t="e">
        <f t="shared" si="35"/>
        <v>#VALUE!</v>
      </c>
      <c r="K133" s="33" t="e">
        <f t="shared" ref="K133:K196" si="41">(0.5*I133*G133^2-J133*H133)/(E133+F133)</f>
        <v>#VALUE!</v>
      </c>
      <c r="L133" s="33" t="e">
        <f t="shared" si="36"/>
        <v>#VALUE!</v>
      </c>
      <c r="M133" s="33" t="e">
        <f t="shared" ref="M133:M196" si="42">K133*F133/SQRT(F133^2+E133^2)</f>
        <v>#VALUE!</v>
      </c>
      <c r="N133" s="33" t="e">
        <f t="shared" ref="N133:N196" si="43">K133*F133</f>
        <v>#VALUE!</v>
      </c>
      <c r="O133" s="33" t="e">
        <f t="shared" ref="O133:O196" si="44">K133*F133+0.5*K133*K133/I133</f>
        <v>#VALUE!</v>
      </c>
      <c r="P133" s="33" t="e">
        <f t="shared" ref="P133:P196" si="45">K133/I133</f>
        <v>#VALUE!</v>
      </c>
      <c r="Q133" t="e">
        <f t="shared" ref="Q133:Q196" si="46">(P133&lt;F133)</f>
        <v>#VALUE!</v>
      </c>
    </row>
    <row r="134" spans="1:17" x14ac:dyDescent="0.15">
      <c r="A134" s="30">
        <v>12107898</v>
      </c>
      <c r="C134" s="42" t="e">
        <f t="shared" si="37"/>
        <v>#VALUE!</v>
      </c>
      <c r="D134" s="42" t="e">
        <f t="shared" si="38"/>
        <v>#VALUE!</v>
      </c>
      <c r="E134" s="49" t="e">
        <f t="shared" si="39"/>
        <v>#VALUE!</v>
      </c>
      <c r="F134" s="30" t="e">
        <f t="shared" si="32"/>
        <v>#VALUE!</v>
      </c>
      <c r="G134" s="49" t="e">
        <f t="shared" si="40"/>
        <v>#VALUE!</v>
      </c>
      <c r="H134" s="30" t="e">
        <f t="shared" si="33"/>
        <v>#VALUE!</v>
      </c>
      <c r="I134" s="30" t="e">
        <f t="shared" si="34"/>
        <v>#VALUE!</v>
      </c>
      <c r="J134" s="30" t="e">
        <f t="shared" si="35"/>
        <v>#VALUE!</v>
      </c>
      <c r="K134" s="33" t="e">
        <f t="shared" si="41"/>
        <v>#VALUE!</v>
      </c>
      <c r="L134" s="33" t="e">
        <f t="shared" si="36"/>
        <v>#VALUE!</v>
      </c>
      <c r="M134" s="33" t="e">
        <f t="shared" si="42"/>
        <v>#VALUE!</v>
      </c>
      <c r="N134" s="33" t="e">
        <f t="shared" si="43"/>
        <v>#VALUE!</v>
      </c>
      <c r="O134" s="33" t="e">
        <f t="shared" si="44"/>
        <v>#VALUE!</v>
      </c>
      <c r="P134" s="33" t="e">
        <f t="shared" si="45"/>
        <v>#VALUE!</v>
      </c>
      <c r="Q134" t="e">
        <f t="shared" si="46"/>
        <v>#VALUE!</v>
      </c>
    </row>
    <row r="135" spans="1:17" x14ac:dyDescent="0.15">
      <c r="A135" s="30">
        <v>11027354</v>
      </c>
      <c r="C135" s="42" t="e">
        <f t="shared" si="37"/>
        <v>#VALUE!</v>
      </c>
      <c r="D135" s="42" t="e">
        <f t="shared" si="38"/>
        <v>#VALUE!</v>
      </c>
      <c r="E135" s="49" t="e">
        <f t="shared" si="39"/>
        <v>#VALUE!</v>
      </c>
      <c r="F135" s="30" t="e">
        <f t="shared" si="32"/>
        <v>#VALUE!</v>
      </c>
      <c r="G135" s="49" t="e">
        <f t="shared" si="40"/>
        <v>#VALUE!</v>
      </c>
      <c r="H135" s="30" t="e">
        <f t="shared" si="33"/>
        <v>#VALUE!</v>
      </c>
      <c r="I135" s="30" t="e">
        <f t="shared" si="34"/>
        <v>#VALUE!</v>
      </c>
      <c r="J135" s="30" t="e">
        <f t="shared" si="35"/>
        <v>#VALUE!</v>
      </c>
      <c r="K135" s="33" t="e">
        <f t="shared" si="41"/>
        <v>#VALUE!</v>
      </c>
      <c r="L135" s="33" t="e">
        <f t="shared" si="36"/>
        <v>#VALUE!</v>
      </c>
      <c r="M135" s="33" t="e">
        <f t="shared" si="42"/>
        <v>#VALUE!</v>
      </c>
      <c r="N135" s="33" t="e">
        <f t="shared" si="43"/>
        <v>#VALUE!</v>
      </c>
      <c r="O135" s="33" t="e">
        <f t="shared" si="44"/>
        <v>#VALUE!</v>
      </c>
      <c r="P135" s="33" t="e">
        <f t="shared" si="45"/>
        <v>#VALUE!</v>
      </c>
      <c r="Q135" t="e">
        <f t="shared" si="46"/>
        <v>#VALUE!</v>
      </c>
    </row>
    <row r="136" spans="1:17" x14ac:dyDescent="0.15">
      <c r="A136" s="30">
        <v>11607886</v>
      </c>
      <c r="C136" s="42" t="e">
        <f t="shared" si="37"/>
        <v>#VALUE!</v>
      </c>
      <c r="D136" s="42" t="e">
        <f t="shared" si="38"/>
        <v>#VALUE!</v>
      </c>
      <c r="E136" s="49" t="e">
        <f t="shared" si="39"/>
        <v>#VALUE!</v>
      </c>
      <c r="F136" s="30" t="e">
        <f t="shared" si="32"/>
        <v>#VALUE!</v>
      </c>
      <c r="G136" s="49" t="e">
        <f t="shared" si="40"/>
        <v>#VALUE!</v>
      </c>
      <c r="H136" s="30" t="e">
        <f t="shared" si="33"/>
        <v>#VALUE!</v>
      </c>
      <c r="I136" s="30" t="e">
        <f t="shared" si="34"/>
        <v>#VALUE!</v>
      </c>
      <c r="J136" s="30" t="e">
        <f t="shared" si="35"/>
        <v>#VALUE!</v>
      </c>
      <c r="K136" s="33" t="e">
        <f t="shared" si="41"/>
        <v>#VALUE!</v>
      </c>
      <c r="L136" s="33" t="e">
        <f t="shared" si="36"/>
        <v>#VALUE!</v>
      </c>
      <c r="M136" s="33" t="e">
        <f t="shared" si="42"/>
        <v>#VALUE!</v>
      </c>
      <c r="N136" s="33" t="e">
        <f t="shared" si="43"/>
        <v>#VALUE!</v>
      </c>
      <c r="O136" s="33" t="e">
        <f t="shared" si="44"/>
        <v>#VALUE!</v>
      </c>
      <c r="P136" s="33" t="e">
        <f t="shared" si="45"/>
        <v>#VALUE!</v>
      </c>
      <c r="Q136" t="e">
        <f t="shared" si="46"/>
        <v>#VALUE!</v>
      </c>
    </row>
    <row r="137" spans="1:17" x14ac:dyDescent="0.15">
      <c r="A137" s="30">
        <v>99149003</v>
      </c>
      <c r="C137" s="42" t="e">
        <f t="shared" si="37"/>
        <v>#VALUE!</v>
      </c>
      <c r="D137" s="42" t="e">
        <f t="shared" si="38"/>
        <v>#VALUE!</v>
      </c>
      <c r="E137" s="49" t="e">
        <f t="shared" si="39"/>
        <v>#VALUE!</v>
      </c>
      <c r="F137" s="30" t="e">
        <f t="shared" si="32"/>
        <v>#VALUE!</v>
      </c>
      <c r="G137" s="49" t="e">
        <f t="shared" si="40"/>
        <v>#VALUE!</v>
      </c>
      <c r="H137" s="30" t="e">
        <f t="shared" si="33"/>
        <v>#VALUE!</v>
      </c>
      <c r="I137" s="30" t="e">
        <f t="shared" si="34"/>
        <v>#VALUE!</v>
      </c>
      <c r="J137" s="30" t="e">
        <f t="shared" si="35"/>
        <v>#VALUE!</v>
      </c>
      <c r="K137" s="33" t="e">
        <f t="shared" si="41"/>
        <v>#VALUE!</v>
      </c>
      <c r="L137" s="33" t="e">
        <f t="shared" si="36"/>
        <v>#VALUE!</v>
      </c>
      <c r="M137" s="33" t="e">
        <f t="shared" si="42"/>
        <v>#VALUE!</v>
      </c>
      <c r="N137" s="33" t="e">
        <f t="shared" si="43"/>
        <v>#VALUE!</v>
      </c>
      <c r="O137" s="33" t="e">
        <f t="shared" si="44"/>
        <v>#VALUE!</v>
      </c>
      <c r="P137" s="33" t="e">
        <f t="shared" si="45"/>
        <v>#VALUE!</v>
      </c>
      <c r="Q137" t="e">
        <f t="shared" si="46"/>
        <v>#VALUE!</v>
      </c>
    </row>
    <row r="138" spans="1:17" x14ac:dyDescent="0.15">
      <c r="A138" s="30">
        <v>99104147</v>
      </c>
      <c r="C138" s="42" t="e">
        <f t="shared" si="37"/>
        <v>#VALUE!</v>
      </c>
      <c r="D138" s="42" t="e">
        <f t="shared" si="38"/>
        <v>#VALUE!</v>
      </c>
      <c r="E138" s="49" t="e">
        <f t="shared" si="39"/>
        <v>#VALUE!</v>
      </c>
      <c r="F138" s="30" t="e">
        <f t="shared" si="32"/>
        <v>#VALUE!</v>
      </c>
      <c r="G138" s="49" t="e">
        <f t="shared" si="40"/>
        <v>#VALUE!</v>
      </c>
      <c r="H138" s="30" t="e">
        <f t="shared" si="33"/>
        <v>#VALUE!</v>
      </c>
      <c r="I138" s="30" t="e">
        <f t="shared" si="34"/>
        <v>#VALUE!</v>
      </c>
      <c r="J138" s="30" t="e">
        <f t="shared" si="35"/>
        <v>#VALUE!</v>
      </c>
      <c r="K138" s="33" t="e">
        <f t="shared" si="41"/>
        <v>#VALUE!</v>
      </c>
      <c r="L138" s="33" t="e">
        <f t="shared" si="36"/>
        <v>#VALUE!</v>
      </c>
      <c r="M138" s="33" t="e">
        <f t="shared" si="42"/>
        <v>#VALUE!</v>
      </c>
      <c r="N138" s="33" t="e">
        <f t="shared" si="43"/>
        <v>#VALUE!</v>
      </c>
      <c r="O138" s="33" t="e">
        <f t="shared" si="44"/>
        <v>#VALUE!</v>
      </c>
      <c r="P138" s="33" t="e">
        <f t="shared" si="45"/>
        <v>#VALUE!</v>
      </c>
      <c r="Q138" t="e">
        <f t="shared" si="46"/>
        <v>#VALUE!</v>
      </c>
    </row>
    <row r="139" spans="1:17" x14ac:dyDescent="0.15">
      <c r="A139" s="30">
        <v>12818427</v>
      </c>
      <c r="C139" s="42" t="e">
        <f t="shared" si="37"/>
        <v>#VALUE!</v>
      </c>
      <c r="D139" s="42" t="e">
        <f t="shared" si="38"/>
        <v>#VALUE!</v>
      </c>
      <c r="E139" s="49" t="e">
        <f t="shared" si="39"/>
        <v>#VALUE!</v>
      </c>
      <c r="F139" s="30" t="e">
        <f t="shared" si="32"/>
        <v>#VALUE!</v>
      </c>
      <c r="G139" s="49" t="e">
        <f t="shared" si="40"/>
        <v>#VALUE!</v>
      </c>
      <c r="H139" s="30" t="e">
        <f t="shared" si="33"/>
        <v>#VALUE!</v>
      </c>
      <c r="I139" s="30" t="e">
        <f t="shared" si="34"/>
        <v>#VALUE!</v>
      </c>
      <c r="J139" s="30" t="e">
        <f t="shared" si="35"/>
        <v>#VALUE!</v>
      </c>
      <c r="K139" s="33" t="e">
        <f t="shared" si="41"/>
        <v>#VALUE!</v>
      </c>
      <c r="L139" s="33" t="e">
        <f t="shared" si="36"/>
        <v>#VALUE!</v>
      </c>
      <c r="M139" s="33" t="e">
        <f t="shared" si="42"/>
        <v>#VALUE!</v>
      </c>
      <c r="N139" s="33" t="e">
        <f t="shared" si="43"/>
        <v>#VALUE!</v>
      </c>
      <c r="O139" s="33" t="e">
        <f t="shared" si="44"/>
        <v>#VALUE!</v>
      </c>
      <c r="P139" s="33" t="e">
        <f t="shared" si="45"/>
        <v>#VALUE!</v>
      </c>
      <c r="Q139" t="e">
        <f t="shared" si="46"/>
        <v>#VALUE!</v>
      </c>
    </row>
    <row r="140" spans="1:17" x14ac:dyDescent="0.15">
      <c r="A140" s="30">
        <v>12145456</v>
      </c>
      <c r="C140" s="42" t="e">
        <f t="shared" si="37"/>
        <v>#VALUE!</v>
      </c>
      <c r="D140" s="42" t="e">
        <f t="shared" si="38"/>
        <v>#VALUE!</v>
      </c>
      <c r="E140" s="49" t="e">
        <f t="shared" si="39"/>
        <v>#VALUE!</v>
      </c>
      <c r="F140" s="30" t="e">
        <f t="shared" si="32"/>
        <v>#VALUE!</v>
      </c>
      <c r="G140" s="49" t="e">
        <f t="shared" si="40"/>
        <v>#VALUE!</v>
      </c>
      <c r="H140" s="30" t="e">
        <f t="shared" si="33"/>
        <v>#VALUE!</v>
      </c>
      <c r="I140" s="30" t="e">
        <f t="shared" si="34"/>
        <v>#VALUE!</v>
      </c>
      <c r="J140" s="30" t="e">
        <f t="shared" si="35"/>
        <v>#VALUE!</v>
      </c>
      <c r="K140" s="33" t="e">
        <f t="shared" si="41"/>
        <v>#VALUE!</v>
      </c>
      <c r="L140" s="33" t="e">
        <f t="shared" si="36"/>
        <v>#VALUE!</v>
      </c>
      <c r="M140" s="33" t="e">
        <f t="shared" si="42"/>
        <v>#VALUE!</v>
      </c>
      <c r="N140" s="33" t="e">
        <f t="shared" si="43"/>
        <v>#VALUE!</v>
      </c>
      <c r="O140" s="33" t="e">
        <f t="shared" si="44"/>
        <v>#VALUE!</v>
      </c>
      <c r="P140" s="33" t="e">
        <f t="shared" si="45"/>
        <v>#VALUE!</v>
      </c>
      <c r="Q140" t="e">
        <f t="shared" si="46"/>
        <v>#VALUE!</v>
      </c>
    </row>
    <row r="141" spans="1:17" x14ac:dyDescent="0.15">
      <c r="A141" s="30">
        <v>11972534</v>
      </c>
      <c r="C141" s="42" t="e">
        <f t="shared" si="37"/>
        <v>#VALUE!</v>
      </c>
      <c r="D141" s="42" t="e">
        <f t="shared" si="38"/>
        <v>#VALUE!</v>
      </c>
      <c r="E141" s="49" t="e">
        <f t="shared" si="39"/>
        <v>#VALUE!</v>
      </c>
      <c r="F141" s="30" t="e">
        <f t="shared" si="32"/>
        <v>#VALUE!</v>
      </c>
      <c r="G141" s="49" t="e">
        <f t="shared" si="40"/>
        <v>#VALUE!</v>
      </c>
      <c r="H141" s="30" t="e">
        <f t="shared" si="33"/>
        <v>#VALUE!</v>
      </c>
      <c r="I141" s="30" t="e">
        <f t="shared" si="34"/>
        <v>#VALUE!</v>
      </c>
      <c r="J141" s="30" t="e">
        <f t="shared" si="35"/>
        <v>#VALUE!</v>
      </c>
      <c r="K141" s="33" t="e">
        <f t="shared" si="41"/>
        <v>#VALUE!</v>
      </c>
      <c r="L141" s="33" t="e">
        <f t="shared" si="36"/>
        <v>#VALUE!</v>
      </c>
      <c r="M141" s="33" t="e">
        <f t="shared" si="42"/>
        <v>#VALUE!</v>
      </c>
      <c r="N141" s="33" t="e">
        <f t="shared" si="43"/>
        <v>#VALUE!</v>
      </c>
      <c r="O141" s="33" t="e">
        <f t="shared" si="44"/>
        <v>#VALUE!</v>
      </c>
      <c r="P141" s="33" t="e">
        <f t="shared" si="45"/>
        <v>#VALUE!</v>
      </c>
      <c r="Q141" t="e">
        <f t="shared" si="46"/>
        <v>#VALUE!</v>
      </c>
    </row>
    <row r="142" spans="1:17" x14ac:dyDescent="0.15">
      <c r="A142" s="30">
        <v>11916499</v>
      </c>
      <c r="C142" s="42" t="e">
        <f t="shared" si="37"/>
        <v>#VALUE!</v>
      </c>
      <c r="D142" s="42" t="e">
        <f t="shared" si="38"/>
        <v>#VALUE!</v>
      </c>
      <c r="E142" s="49" t="e">
        <f t="shared" si="39"/>
        <v>#VALUE!</v>
      </c>
      <c r="F142" s="30" t="e">
        <f t="shared" si="32"/>
        <v>#VALUE!</v>
      </c>
      <c r="G142" s="49" t="e">
        <f t="shared" si="40"/>
        <v>#VALUE!</v>
      </c>
      <c r="H142" s="30" t="e">
        <f t="shared" si="33"/>
        <v>#VALUE!</v>
      </c>
      <c r="I142" s="30" t="e">
        <f t="shared" si="34"/>
        <v>#VALUE!</v>
      </c>
      <c r="J142" s="30" t="e">
        <f t="shared" si="35"/>
        <v>#VALUE!</v>
      </c>
      <c r="K142" s="33" t="e">
        <f t="shared" si="41"/>
        <v>#VALUE!</v>
      </c>
      <c r="L142" s="33" t="e">
        <f t="shared" si="36"/>
        <v>#VALUE!</v>
      </c>
      <c r="M142" s="33" t="e">
        <f t="shared" si="42"/>
        <v>#VALUE!</v>
      </c>
      <c r="N142" s="33" t="e">
        <f t="shared" si="43"/>
        <v>#VALUE!</v>
      </c>
      <c r="O142" s="33" t="e">
        <f t="shared" si="44"/>
        <v>#VALUE!</v>
      </c>
      <c r="P142" s="33" t="e">
        <f t="shared" si="45"/>
        <v>#VALUE!</v>
      </c>
      <c r="Q142" t="e">
        <f t="shared" si="46"/>
        <v>#VALUE!</v>
      </c>
    </row>
    <row r="143" spans="1:17" x14ac:dyDescent="0.15">
      <c r="A143" s="30">
        <v>98130659</v>
      </c>
      <c r="C143" s="42" t="e">
        <f t="shared" si="37"/>
        <v>#VALUE!</v>
      </c>
      <c r="D143" s="42" t="e">
        <f t="shared" si="38"/>
        <v>#VALUE!</v>
      </c>
      <c r="E143" s="49" t="e">
        <f t="shared" si="39"/>
        <v>#VALUE!</v>
      </c>
      <c r="F143" s="30" t="e">
        <f t="shared" si="32"/>
        <v>#VALUE!</v>
      </c>
      <c r="G143" s="49" t="e">
        <f t="shared" si="40"/>
        <v>#VALUE!</v>
      </c>
      <c r="H143" s="30" t="e">
        <f t="shared" si="33"/>
        <v>#VALUE!</v>
      </c>
      <c r="I143" s="30" t="e">
        <f t="shared" si="34"/>
        <v>#VALUE!</v>
      </c>
      <c r="J143" s="30" t="e">
        <f t="shared" si="35"/>
        <v>#VALUE!</v>
      </c>
      <c r="K143" s="33" t="e">
        <f t="shared" si="41"/>
        <v>#VALUE!</v>
      </c>
      <c r="L143" s="33" t="e">
        <f t="shared" si="36"/>
        <v>#VALUE!</v>
      </c>
      <c r="M143" s="33" t="e">
        <f t="shared" si="42"/>
        <v>#VALUE!</v>
      </c>
      <c r="N143" s="33" t="e">
        <f t="shared" si="43"/>
        <v>#VALUE!</v>
      </c>
      <c r="O143" s="33" t="e">
        <f t="shared" si="44"/>
        <v>#VALUE!</v>
      </c>
      <c r="P143" s="33" t="e">
        <f t="shared" si="45"/>
        <v>#VALUE!</v>
      </c>
      <c r="Q143" t="e">
        <f t="shared" si="46"/>
        <v>#VALUE!</v>
      </c>
    </row>
    <row r="144" spans="1:17" x14ac:dyDescent="0.15">
      <c r="A144" s="30">
        <v>10858153</v>
      </c>
      <c r="C144" s="42" t="e">
        <f t="shared" si="37"/>
        <v>#VALUE!</v>
      </c>
      <c r="D144" s="42" t="e">
        <f t="shared" si="38"/>
        <v>#VALUE!</v>
      </c>
      <c r="E144" s="49" t="e">
        <f t="shared" si="39"/>
        <v>#VALUE!</v>
      </c>
      <c r="F144" s="30" t="e">
        <f t="shared" si="32"/>
        <v>#VALUE!</v>
      </c>
      <c r="G144" s="49" t="e">
        <f t="shared" si="40"/>
        <v>#VALUE!</v>
      </c>
      <c r="H144" s="30" t="e">
        <f t="shared" si="33"/>
        <v>#VALUE!</v>
      </c>
      <c r="I144" s="30" t="e">
        <f t="shared" si="34"/>
        <v>#VALUE!</v>
      </c>
      <c r="J144" s="30" t="e">
        <f t="shared" si="35"/>
        <v>#VALUE!</v>
      </c>
      <c r="K144" s="33" t="e">
        <f t="shared" si="41"/>
        <v>#VALUE!</v>
      </c>
      <c r="L144" s="33" t="e">
        <f t="shared" si="36"/>
        <v>#VALUE!</v>
      </c>
      <c r="M144" s="33" t="e">
        <f t="shared" si="42"/>
        <v>#VALUE!</v>
      </c>
      <c r="N144" s="33" t="e">
        <f t="shared" si="43"/>
        <v>#VALUE!</v>
      </c>
      <c r="O144" s="33" t="e">
        <f t="shared" si="44"/>
        <v>#VALUE!</v>
      </c>
      <c r="P144" s="33" t="e">
        <f t="shared" si="45"/>
        <v>#VALUE!</v>
      </c>
      <c r="Q144" t="e">
        <f t="shared" si="46"/>
        <v>#VALUE!</v>
      </c>
    </row>
    <row r="145" spans="1:17" x14ac:dyDescent="0.15">
      <c r="A145" s="30">
        <v>12008304</v>
      </c>
      <c r="C145" s="42" t="e">
        <f t="shared" si="37"/>
        <v>#VALUE!</v>
      </c>
      <c r="D145" s="42" t="e">
        <f t="shared" si="38"/>
        <v>#VALUE!</v>
      </c>
      <c r="E145" s="49" t="e">
        <f t="shared" si="39"/>
        <v>#VALUE!</v>
      </c>
      <c r="F145" s="30" t="e">
        <f t="shared" si="32"/>
        <v>#VALUE!</v>
      </c>
      <c r="G145" s="49" t="e">
        <f t="shared" si="40"/>
        <v>#VALUE!</v>
      </c>
      <c r="H145" s="30" t="e">
        <f t="shared" si="33"/>
        <v>#VALUE!</v>
      </c>
      <c r="I145" s="30" t="e">
        <f t="shared" si="34"/>
        <v>#VALUE!</v>
      </c>
      <c r="J145" s="30" t="e">
        <f t="shared" si="35"/>
        <v>#VALUE!</v>
      </c>
      <c r="K145" s="33" t="e">
        <f t="shared" si="41"/>
        <v>#VALUE!</v>
      </c>
      <c r="L145" s="33" t="e">
        <f t="shared" si="36"/>
        <v>#VALUE!</v>
      </c>
      <c r="M145" s="33" t="e">
        <f t="shared" si="42"/>
        <v>#VALUE!</v>
      </c>
      <c r="N145" s="33" t="e">
        <f t="shared" si="43"/>
        <v>#VALUE!</v>
      </c>
      <c r="O145" s="33" t="e">
        <f t="shared" si="44"/>
        <v>#VALUE!</v>
      </c>
      <c r="P145" s="33" t="e">
        <f t="shared" si="45"/>
        <v>#VALUE!</v>
      </c>
      <c r="Q145" t="e">
        <f t="shared" si="46"/>
        <v>#VALUE!</v>
      </c>
    </row>
    <row r="146" spans="1:17" x14ac:dyDescent="0.15">
      <c r="A146" s="30">
        <v>11746106</v>
      </c>
      <c r="C146" s="42" t="e">
        <f t="shared" si="37"/>
        <v>#VALUE!</v>
      </c>
      <c r="D146" s="42" t="e">
        <f t="shared" si="38"/>
        <v>#VALUE!</v>
      </c>
      <c r="E146" s="49" t="e">
        <f t="shared" si="39"/>
        <v>#VALUE!</v>
      </c>
      <c r="F146" s="30" t="e">
        <f t="shared" si="32"/>
        <v>#VALUE!</v>
      </c>
      <c r="G146" s="49" t="e">
        <f t="shared" si="40"/>
        <v>#VALUE!</v>
      </c>
      <c r="H146" s="30" t="e">
        <f t="shared" si="33"/>
        <v>#VALUE!</v>
      </c>
      <c r="I146" s="30" t="e">
        <f t="shared" si="34"/>
        <v>#VALUE!</v>
      </c>
      <c r="J146" s="30" t="e">
        <f t="shared" si="35"/>
        <v>#VALUE!</v>
      </c>
      <c r="K146" s="33" t="e">
        <f t="shared" si="41"/>
        <v>#VALUE!</v>
      </c>
      <c r="L146" s="33" t="e">
        <f t="shared" si="36"/>
        <v>#VALUE!</v>
      </c>
      <c r="M146" s="33" t="e">
        <f t="shared" si="42"/>
        <v>#VALUE!</v>
      </c>
      <c r="N146" s="33" t="e">
        <f t="shared" si="43"/>
        <v>#VALUE!</v>
      </c>
      <c r="O146" s="33" t="e">
        <f t="shared" si="44"/>
        <v>#VALUE!</v>
      </c>
      <c r="P146" s="33" t="e">
        <f t="shared" si="45"/>
        <v>#VALUE!</v>
      </c>
      <c r="Q146" t="e">
        <f t="shared" si="46"/>
        <v>#VALUE!</v>
      </c>
    </row>
    <row r="147" spans="1:17" x14ac:dyDescent="0.15">
      <c r="A147" s="30">
        <v>99135889</v>
      </c>
      <c r="C147" s="42" t="e">
        <f t="shared" si="37"/>
        <v>#VALUE!</v>
      </c>
      <c r="D147" s="42" t="e">
        <f t="shared" si="38"/>
        <v>#VALUE!</v>
      </c>
      <c r="E147" s="49" t="e">
        <f t="shared" si="39"/>
        <v>#VALUE!</v>
      </c>
      <c r="F147" s="30" t="e">
        <f t="shared" si="32"/>
        <v>#VALUE!</v>
      </c>
      <c r="G147" s="49" t="e">
        <f t="shared" si="40"/>
        <v>#VALUE!</v>
      </c>
      <c r="H147" s="30" t="e">
        <f t="shared" si="33"/>
        <v>#VALUE!</v>
      </c>
      <c r="I147" s="30" t="e">
        <f t="shared" si="34"/>
        <v>#VALUE!</v>
      </c>
      <c r="J147" s="30" t="e">
        <f t="shared" si="35"/>
        <v>#VALUE!</v>
      </c>
      <c r="K147" s="33" t="e">
        <f t="shared" si="41"/>
        <v>#VALUE!</v>
      </c>
      <c r="L147" s="33" t="e">
        <f t="shared" si="36"/>
        <v>#VALUE!</v>
      </c>
      <c r="M147" s="33" t="e">
        <f t="shared" si="42"/>
        <v>#VALUE!</v>
      </c>
      <c r="N147" s="33" t="e">
        <f t="shared" si="43"/>
        <v>#VALUE!</v>
      </c>
      <c r="O147" s="33" t="e">
        <f t="shared" si="44"/>
        <v>#VALUE!</v>
      </c>
      <c r="P147" s="33" t="e">
        <f t="shared" si="45"/>
        <v>#VALUE!</v>
      </c>
      <c r="Q147" t="e">
        <f t="shared" si="46"/>
        <v>#VALUE!</v>
      </c>
    </row>
    <row r="148" spans="1:17" x14ac:dyDescent="0.15">
      <c r="A148" s="30">
        <v>11648920</v>
      </c>
      <c r="C148" s="42" t="e">
        <f t="shared" si="37"/>
        <v>#VALUE!</v>
      </c>
      <c r="D148" s="42" t="e">
        <f t="shared" si="38"/>
        <v>#VALUE!</v>
      </c>
      <c r="E148" s="49" t="e">
        <f t="shared" si="39"/>
        <v>#VALUE!</v>
      </c>
      <c r="F148" s="30" t="e">
        <f t="shared" si="32"/>
        <v>#VALUE!</v>
      </c>
      <c r="G148" s="49" t="e">
        <f t="shared" si="40"/>
        <v>#VALUE!</v>
      </c>
      <c r="H148" s="30" t="e">
        <f t="shared" si="33"/>
        <v>#VALUE!</v>
      </c>
      <c r="I148" s="30" t="e">
        <f t="shared" si="34"/>
        <v>#VALUE!</v>
      </c>
      <c r="J148" s="30" t="e">
        <f t="shared" si="35"/>
        <v>#VALUE!</v>
      </c>
      <c r="K148" s="33" t="e">
        <f t="shared" si="41"/>
        <v>#VALUE!</v>
      </c>
      <c r="L148" s="33" t="e">
        <f t="shared" si="36"/>
        <v>#VALUE!</v>
      </c>
      <c r="M148" s="33" t="e">
        <f t="shared" si="42"/>
        <v>#VALUE!</v>
      </c>
      <c r="N148" s="33" t="e">
        <f t="shared" si="43"/>
        <v>#VALUE!</v>
      </c>
      <c r="O148" s="33" t="e">
        <f t="shared" si="44"/>
        <v>#VALUE!</v>
      </c>
      <c r="P148" s="33" t="e">
        <f t="shared" si="45"/>
        <v>#VALUE!</v>
      </c>
      <c r="Q148" t="e">
        <f t="shared" si="46"/>
        <v>#VALUE!</v>
      </c>
    </row>
    <row r="149" spans="1:17" x14ac:dyDescent="0.15">
      <c r="A149" s="30">
        <v>99154534</v>
      </c>
      <c r="C149" s="42" t="e">
        <f t="shared" si="37"/>
        <v>#VALUE!</v>
      </c>
      <c r="D149" s="42" t="e">
        <f t="shared" si="38"/>
        <v>#VALUE!</v>
      </c>
      <c r="E149" s="49" t="e">
        <f t="shared" si="39"/>
        <v>#VALUE!</v>
      </c>
      <c r="F149" s="30" t="e">
        <f t="shared" si="32"/>
        <v>#VALUE!</v>
      </c>
      <c r="G149" s="49" t="e">
        <f t="shared" si="40"/>
        <v>#VALUE!</v>
      </c>
      <c r="H149" s="30" t="e">
        <f t="shared" si="33"/>
        <v>#VALUE!</v>
      </c>
      <c r="I149" s="30" t="e">
        <f t="shared" si="34"/>
        <v>#VALUE!</v>
      </c>
      <c r="J149" s="30" t="e">
        <f t="shared" si="35"/>
        <v>#VALUE!</v>
      </c>
      <c r="K149" s="33" t="e">
        <f t="shared" si="41"/>
        <v>#VALUE!</v>
      </c>
      <c r="L149" s="33" t="e">
        <f t="shared" si="36"/>
        <v>#VALUE!</v>
      </c>
      <c r="M149" s="33" t="e">
        <f t="shared" si="42"/>
        <v>#VALUE!</v>
      </c>
      <c r="N149" s="33" t="e">
        <f t="shared" si="43"/>
        <v>#VALUE!</v>
      </c>
      <c r="O149" s="33" t="e">
        <f t="shared" si="44"/>
        <v>#VALUE!</v>
      </c>
      <c r="P149" s="33" t="e">
        <f t="shared" si="45"/>
        <v>#VALUE!</v>
      </c>
      <c r="Q149" t="e">
        <f t="shared" si="46"/>
        <v>#VALUE!</v>
      </c>
    </row>
    <row r="150" spans="1:17" x14ac:dyDescent="0.15">
      <c r="A150" s="30">
        <v>11378662</v>
      </c>
      <c r="C150" s="42" t="e">
        <f t="shared" si="37"/>
        <v>#VALUE!</v>
      </c>
      <c r="D150" s="42" t="e">
        <f t="shared" si="38"/>
        <v>#VALUE!</v>
      </c>
      <c r="E150" s="49" t="e">
        <f t="shared" si="39"/>
        <v>#VALUE!</v>
      </c>
      <c r="F150" s="30" t="e">
        <f t="shared" si="32"/>
        <v>#VALUE!</v>
      </c>
      <c r="G150" s="49" t="e">
        <f t="shared" si="40"/>
        <v>#VALUE!</v>
      </c>
      <c r="H150" s="30" t="e">
        <f t="shared" si="33"/>
        <v>#VALUE!</v>
      </c>
      <c r="I150" s="30" t="e">
        <f t="shared" si="34"/>
        <v>#VALUE!</v>
      </c>
      <c r="J150" s="30" t="e">
        <f t="shared" si="35"/>
        <v>#VALUE!</v>
      </c>
      <c r="K150" s="33" t="e">
        <f t="shared" si="41"/>
        <v>#VALUE!</v>
      </c>
      <c r="L150" s="33" t="e">
        <f t="shared" si="36"/>
        <v>#VALUE!</v>
      </c>
      <c r="M150" s="33" t="e">
        <f t="shared" si="42"/>
        <v>#VALUE!</v>
      </c>
      <c r="N150" s="33" t="e">
        <f t="shared" si="43"/>
        <v>#VALUE!</v>
      </c>
      <c r="O150" s="33" t="e">
        <f t="shared" si="44"/>
        <v>#VALUE!</v>
      </c>
      <c r="P150" s="33" t="e">
        <f t="shared" si="45"/>
        <v>#VALUE!</v>
      </c>
      <c r="Q150" t="e">
        <f t="shared" si="46"/>
        <v>#VALUE!</v>
      </c>
    </row>
    <row r="151" spans="1:17" x14ac:dyDescent="0.15">
      <c r="A151" s="30">
        <v>11785882</v>
      </c>
      <c r="C151" s="42" t="e">
        <f t="shared" si="37"/>
        <v>#VALUE!</v>
      </c>
      <c r="D151" s="42" t="e">
        <f t="shared" si="38"/>
        <v>#VALUE!</v>
      </c>
      <c r="E151" s="49" t="e">
        <f t="shared" si="39"/>
        <v>#VALUE!</v>
      </c>
      <c r="F151" s="30" t="e">
        <f t="shared" si="32"/>
        <v>#VALUE!</v>
      </c>
      <c r="G151" s="49" t="e">
        <f t="shared" si="40"/>
        <v>#VALUE!</v>
      </c>
      <c r="H151" s="30" t="e">
        <f t="shared" si="33"/>
        <v>#VALUE!</v>
      </c>
      <c r="I151" s="30" t="e">
        <f t="shared" si="34"/>
        <v>#VALUE!</v>
      </c>
      <c r="J151" s="30" t="e">
        <f t="shared" si="35"/>
        <v>#VALUE!</v>
      </c>
      <c r="K151" s="33" t="e">
        <f t="shared" si="41"/>
        <v>#VALUE!</v>
      </c>
      <c r="L151" s="33" t="e">
        <f t="shared" si="36"/>
        <v>#VALUE!</v>
      </c>
      <c r="M151" s="33" t="e">
        <f t="shared" si="42"/>
        <v>#VALUE!</v>
      </c>
      <c r="N151" s="33" t="e">
        <f t="shared" si="43"/>
        <v>#VALUE!</v>
      </c>
      <c r="O151" s="33" t="e">
        <f t="shared" si="44"/>
        <v>#VALUE!</v>
      </c>
      <c r="P151" s="33" t="e">
        <f t="shared" si="45"/>
        <v>#VALUE!</v>
      </c>
      <c r="Q151" t="e">
        <f t="shared" si="46"/>
        <v>#VALUE!</v>
      </c>
    </row>
    <row r="152" spans="1:17" x14ac:dyDescent="0.15">
      <c r="A152" s="30">
        <v>11908340</v>
      </c>
      <c r="C152" s="42" t="e">
        <f t="shared" si="37"/>
        <v>#VALUE!</v>
      </c>
      <c r="D152" s="42" t="e">
        <f t="shared" si="38"/>
        <v>#VALUE!</v>
      </c>
      <c r="E152" s="49" t="e">
        <f t="shared" si="39"/>
        <v>#VALUE!</v>
      </c>
      <c r="F152" s="30" t="e">
        <f t="shared" si="32"/>
        <v>#VALUE!</v>
      </c>
      <c r="G152" s="49" t="e">
        <f t="shared" si="40"/>
        <v>#VALUE!</v>
      </c>
      <c r="H152" s="30" t="e">
        <f t="shared" si="33"/>
        <v>#VALUE!</v>
      </c>
      <c r="I152" s="30" t="e">
        <f t="shared" si="34"/>
        <v>#VALUE!</v>
      </c>
      <c r="J152" s="30" t="e">
        <f t="shared" si="35"/>
        <v>#VALUE!</v>
      </c>
      <c r="K152" s="33" t="e">
        <f t="shared" si="41"/>
        <v>#VALUE!</v>
      </c>
      <c r="L152" s="33" t="e">
        <f t="shared" si="36"/>
        <v>#VALUE!</v>
      </c>
      <c r="M152" s="33" t="e">
        <f t="shared" si="42"/>
        <v>#VALUE!</v>
      </c>
      <c r="N152" s="33" t="e">
        <f t="shared" si="43"/>
        <v>#VALUE!</v>
      </c>
      <c r="O152" s="33" t="e">
        <f t="shared" si="44"/>
        <v>#VALUE!</v>
      </c>
      <c r="P152" s="33" t="e">
        <f t="shared" si="45"/>
        <v>#VALUE!</v>
      </c>
      <c r="Q152" t="e">
        <f t="shared" si="46"/>
        <v>#VALUE!</v>
      </c>
    </row>
    <row r="153" spans="1:17" x14ac:dyDescent="0.15">
      <c r="A153" s="30">
        <v>11971456</v>
      </c>
      <c r="C153" s="42" t="e">
        <f t="shared" si="37"/>
        <v>#VALUE!</v>
      </c>
      <c r="D153" s="42" t="e">
        <f t="shared" si="38"/>
        <v>#VALUE!</v>
      </c>
      <c r="E153" s="49" t="e">
        <f t="shared" si="39"/>
        <v>#VALUE!</v>
      </c>
      <c r="F153" s="30" t="e">
        <f t="shared" si="32"/>
        <v>#VALUE!</v>
      </c>
      <c r="G153" s="49" t="e">
        <f t="shared" si="40"/>
        <v>#VALUE!</v>
      </c>
      <c r="H153" s="30" t="e">
        <f t="shared" si="33"/>
        <v>#VALUE!</v>
      </c>
      <c r="I153" s="30" t="e">
        <f t="shared" si="34"/>
        <v>#VALUE!</v>
      </c>
      <c r="J153" s="30" t="e">
        <f t="shared" si="35"/>
        <v>#VALUE!</v>
      </c>
      <c r="K153" s="33" t="e">
        <f t="shared" si="41"/>
        <v>#VALUE!</v>
      </c>
      <c r="L153" s="33" t="e">
        <f t="shared" si="36"/>
        <v>#VALUE!</v>
      </c>
      <c r="M153" s="33" t="e">
        <f t="shared" si="42"/>
        <v>#VALUE!</v>
      </c>
      <c r="N153" s="33" t="e">
        <f t="shared" si="43"/>
        <v>#VALUE!</v>
      </c>
      <c r="O153" s="33" t="e">
        <f t="shared" si="44"/>
        <v>#VALUE!</v>
      </c>
      <c r="P153" s="33" t="e">
        <f t="shared" si="45"/>
        <v>#VALUE!</v>
      </c>
      <c r="Q153" t="e">
        <f t="shared" si="46"/>
        <v>#VALUE!</v>
      </c>
    </row>
    <row r="154" spans="1:17" x14ac:dyDescent="0.15">
      <c r="A154" s="30">
        <v>97116800</v>
      </c>
      <c r="C154" s="42" t="e">
        <f t="shared" si="37"/>
        <v>#VALUE!</v>
      </c>
      <c r="D154" s="42" t="e">
        <f t="shared" si="38"/>
        <v>#VALUE!</v>
      </c>
      <c r="E154" s="49" t="e">
        <f t="shared" si="39"/>
        <v>#VALUE!</v>
      </c>
      <c r="F154" s="30" t="e">
        <f t="shared" si="32"/>
        <v>#VALUE!</v>
      </c>
      <c r="G154" s="49" t="e">
        <f t="shared" si="40"/>
        <v>#VALUE!</v>
      </c>
      <c r="H154" s="30" t="e">
        <f t="shared" si="33"/>
        <v>#VALUE!</v>
      </c>
      <c r="I154" s="30" t="e">
        <f t="shared" si="34"/>
        <v>#VALUE!</v>
      </c>
      <c r="J154" s="30" t="e">
        <f t="shared" si="35"/>
        <v>#VALUE!</v>
      </c>
      <c r="K154" s="33" t="e">
        <f t="shared" si="41"/>
        <v>#VALUE!</v>
      </c>
      <c r="L154" s="33" t="e">
        <f t="shared" si="36"/>
        <v>#VALUE!</v>
      </c>
      <c r="M154" s="33" t="e">
        <f t="shared" si="42"/>
        <v>#VALUE!</v>
      </c>
      <c r="N154" s="33" t="e">
        <f t="shared" si="43"/>
        <v>#VALUE!</v>
      </c>
      <c r="O154" s="33" t="e">
        <f t="shared" si="44"/>
        <v>#VALUE!</v>
      </c>
      <c r="P154" s="33" t="e">
        <f t="shared" si="45"/>
        <v>#VALUE!</v>
      </c>
      <c r="Q154" t="e">
        <f t="shared" si="46"/>
        <v>#VALUE!</v>
      </c>
    </row>
    <row r="155" spans="1:17" x14ac:dyDescent="0.15">
      <c r="A155" s="30">
        <v>11814908</v>
      </c>
      <c r="C155" s="42" t="e">
        <f t="shared" si="37"/>
        <v>#VALUE!</v>
      </c>
      <c r="D155" s="42" t="e">
        <f t="shared" si="38"/>
        <v>#VALUE!</v>
      </c>
      <c r="E155" s="49" t="e">
        <f t="shared" si="39"/>
        <v>#VALUE!</v>
      </c>
      <c r="F155" s="30" t="e">
        <f t="shared" si="32"/>
        <v>#VALUE!</v>
      </c>
      <c r="G155" s="49" t="e">
        <f t="shared" si="40"/>
        <v>#VALUE!</v>
      </c>
      <c r="H155" s="30" t="e">
        <f t="shared" si="33"/>
        <v>#VALUE!</v>
      </c>
      <c r="I155" s="30" t="e">
        <f t="shared" si="34"/>
        <v>#VALUE!</v>
      </c>
      <c r="J155" s="30" t="e">
        <f t="shared" si="35"/>
        <v>#VALUE!</v>
      </c>
      <c r="K155" s="33" t="e">
        <f t="shared" si="41"/>
        <v>#VALUE!</v>
      </c>
      <c r="L155" s="33" t="e">
        <f t="shared" si="36"/>
        <v>#VALUE!</v>
      </c>
      <c r="M155" s="33" t="e">
        <f t="shared" si="42"/>
        <v>#VALUE!</v>
      </c>
      <c r="N155" s="33" t="e">
        <f t="shared" si="43"/>
        <v>#VALUE!</v>
      </c>
      <c r="O155" s="33" t="e">
        <f t="shared" si="44"/>
        <v>#VALUE!</v>
      </c>
      <c r="P155" s="33" t="e">
        <f t="shared" si="45"/>
        <v>#VALUE!</v>
      </c>
      <c r="Q155" t="e">
        <f t="shared" si="46"/>
        <v>#VALUE!</v>
      </c>
    </row>
    <row r="156" spans="1:17" x14ac:dyDescent="0.15">
      <c r="A156" s="30">
        <v>11925157</v>
      </c>
      <c r="C156" s="42" t="e">
        <f t="shared" si="37"/>
        <v>#VALUE!</v>
      </c>
      <c r="D156" s="42" t="e">
        <f t="shared" si="38"/>
        <v>#VALUE!</v>
      </c>
      <c r="E156" s="49" t="e">
        <f t="shared" si="39"/>
        <v>#VALUE!</v>
      </c>
      <c r="F156" s="30" t="e">
        <f t="shared" si="32"/>
        <v>#VALUE!</v>
      </c>
      <c r="G156" s="49" t="e">
        <f t="shared" si="40"/>
        <v>#VALUE!</v>
      </c>
      <c r="H156" s="30" t="e">
        <f t="shared" si="33"/>
        <v>#VALUE!</v>
      </c>
      <c r="I156" s="30" t="e">
        <f t="shared" si="34"/>
        <v>#VALUE!</v>
      </c>
      <c r="J156" s="30" t="e">
        <f t="shared" si="35"/>
        <v>#VALUE!</v>
      </c>
      <c r="K156" s="33" t="e">
        <f t="shared" si="41"/>
        <v>#VALUE!</v>
      </c>
      <c r="L156" s="33" t="e">
        <f t="shared" si="36"/>
        <v>#VALUE!</v>
      </c>
      <c r="M156" s="33" t="e">
        <f t="shared" si="42"/>
        <v>#VALUE!</v>
      </c>
      <c r="N156" s="33" t="e">
        <f t="shared" si="43"/>
        <v>#VALUE!</v>
      </c>
      <c r="O156" s="33" t="e">
        <f t="shared" si="44"/>
        <v>#VALUE!</v>
      </c>
      <c r="P156" s="33" t="e">
        <f t="shared" si="45"/>
        <v>#VALUE!</v>
      </c>
      <c r="Q156" t="e">
        <f t="shared" si="46"/>
        <v>#VALUE!</v>
      </c>
    </row>
    <row r="157" spans="1:17" x14ac:dyDescent="0.15">
      <c r="A157" s="30">
        <v>99147555</v>
      </c>
      <c r="C157" s="42" t="e">
        <f t="shared" si="37"/>
        <v>#VALUE!</v>
      </c>
      <c r="D157" s="42" t="e">
        <f t="shared" si="38"/>
        <v>#VALUE!</v>
      </c>
      <c r="E157" s="49" t="e">
        <f t="shared" si="39"/>
        <v>#VALUE!</v>
      </c>
      <c r="F157" s="30" t="e">
        <f t="shared" si="32"/>
        <v>#VALUE!</v>
      </c>
      <c r="G157" s="49" t="e">
        <f t="shared" si="40"/>
        <v>#VALUE!</v>
      </c>
      <c r="H157" s="30" t="e">
        <f t="shared" si="33"/>
        <v>#VALUE!</v>
      </c>
      <c r="I157" s="30" t="e">
        <f t="shared" si="34"/>
        <v>#VALUE!</v>
      </c>
      <c r="J157" s="30" t="e">
        <f t="shared" si="35"/>
        <v>#VALUE!</v>
      </c>
      <c r="K157" s="33" t="e">
        <f t="shared" si="41"/>
        <v>#VALUE!</v>
      </c>
      <c r="L157" s="33" t="e">
        <f t="shared" si="36"/>
        <v>#VALUE!</v>
      </c>
      <c r="M157" s="33" t="e">
        <f t="shared" si="42"/>
        <v>#VALUE!</v>
      </c>
      <c r="N157" s="33" t="e">
        <f t="shared" si="43"/>
        <v>#VALUE!</v>
      </c>
      <c r="O157" s="33" t="e">
        <f t="shared" si="44"/>
        <v>#VALUE!</v>
      </c>
      <c r="P157" s="33" t="e">
        <f t="shared" si="45"/>
        <v>#VALUE!</v>
      </c>
      <c r="Q157" t="e">
        <f t="shared" si="46"/>
        <v>#VALUE!</v>
      </c>
    </row>
    <row r="158" spans="1:17" x14ac:dyDescent="0.15">
      <c r="A158" s="30">
        <v>98132196</v>
      </c>
      <c r="C158" s="42" t="e">
        <f t="shared" si="37"/>
        <v>#VALUE!</v>
      </c>
      <c r="D158" s="42" t="e">
        <f t="shared" si="38"/>
        <v>#VALUE!</v>
      </c>
      <c r="E158" s="49" t="e">
        <f t="shared" si="39"/>
        <v>#VALUE!</v>
      </c>
      <c r="F158" s="30" t="e">
        <f t="shared" si="32"/>
        <v>#VALUE!</v>
      </c>
      <c r="G158" s="49" t="e">
        <f t="shared" si="40"/>
        <v>#VALUE!</v>
      </c>
      <c r="H158" s="30" t="e">
        <f t="shared" si="33"/>
        <v>#VALUE!</v>
      </c>
      <c r="I158" s="30" t="e">
        <f t="shared" si="34"/>
        <v>#VALUE!</v>
      </c>
      <c r="J158" s="30" t="e">
        <f t="shared" si="35"/>
        <v>#VALUE!</v>
      </c>
      <c r="K158" s="33" t="e">
        <f t="shared" si="41"/>
        <v>#VALUE!</v>
      </c>
      <c r="L158" s="33" t="e">
        <f t="shared" si="36"/>
        <v>#VALUE!</v>
      </c>
      <c r="M158" s="33" t="e">
        <f t="shared" si="42"/>
        <v>#VALUE!</v>
      </c>
      <c r="N158" s="33" t="e">
        <f t="shared" si="43"/>
        <v>#VALUE!</v>
      </c>
      <c r="O158" s="33" t="e">
        <f t="shared" si="44"/>
        <v>#VALUE!</v>
      </c>
      <c r="P158" s="33" t="e">
        <f t="shared" si="45"/>
        <v>#VALUE!</v>
      </c>
      <c r="Q158" t="e">
        <f t="shared" si="46"/>
        <v>#VALUE!</v>
      </c>
    </row>
    <row r="159" spans="1:17" x14ac:dyDescent="0.15">
      <c r="A159" s="30">
        <v>99121307</v>
      </c>
      <c r="C159" s="42" t="e">
        <f t="shared" si="37"/>
        <v>#VALUE!</v>
      </c>
      <c r="D159" s="42" t="e">
        <f t="shared" si="38"/>
        <v>#VALUE!</v>
      </c>
      <c r="E159" s="49" t="e">
        <f t="shared" si="39"/>
        <v>#VALUE!</v>
      </c>
      <c r="F159" s="30" t="e">
        <f t="shared" si="32"/>
        <v>#VALUE!</v>
      </c>
      <c r="G159" s="49" t="e">
        <f t="shared" si="40"/>
        <v>#VALUE!</v>
      </c>
      <c r="H159" s="30" t="e">
        <f t="shared" si="33"/>
        <v>#VALUE!</v>
      </c>
      <c r="I159" s="30" t="e">
        <f t="shared" si="34"/>
        <v>#VALUE!</v>
      </c>
      <c r="J159" s="30" t="e">
        <f t="shared" si="35"/>
        <v>#VALUE!</v>
      </c>
      <c r="K159" s="33" t="e">
        <f t="shared" si="41"/>
        <v>#VALUE!</v>
      </c>
      <c r="L159" s="33" t="e">
        <f t="shared" si="36"/>
        <v>#VALUE!</v>
      </c>
      <c r="M159" s="33" t="e">
        <f t="shared" si="42"/>
        <v>#VALUE!</v>
      </c>
      <c r="N159" s="33" t="e">
        <f t="shared" si="43"/>
        <v>#VALUE!</v>
      </c>
      <c r="O159" s="33" t="e">
        <f t="shared" si="44"/>
        <v>#VALUE!</v>
      </c>
      <c r="P159" s="33" t="e">
        <f t="shared" si="45"/>
        <v>#VALUE!</v>
      </c>
      <c r="Q159" t="e">
        <f t="shared" si="46"/>
        <v>#VALUE!</v>
      </c>
    </row>
    <row r="160" spans="1:17" x14ac:dyDescent="0.15">
      <c r="A160" s="30">
        <v>11914672</v>
      </c>
      <c r="C160" s="42" t="e">
        <f t="shared" si="37"/>
        <v>#VALUE!</v>
      </c>
      <c r="D160" s="42" t="e">
        <f t="shared" si="38"/>
        <v>#VALUE!</v>
      </c>
      <c r="E160" s="49" t="e">
        <f t="shared" si="39"/>
        <v>#VALUE!</v>
      </c>
      <c r="F160" s="30" t="e">
        <f t="shared" si="32"/>
        <v>#VALUE!</v>
      </c>
      <c r="G160" s="49" t="e">
        <f t="shared" si="40"/>
        <v>#VALUE!</v>
      </c>
      <c r="H160" s="30" t="e">
        <f t="shared" si="33"/>
        <v>#VALUE!</v>
      </c>
      <c r="I160" s="30" t="e">
        <f t="shared" si="34"/>
        <v>#VALUE!</v>
      </c>
      <c r="J160" s="30" t="e">
        <f t="shared" si="35"/>
        <v>#VALUE!</v>
      </c>
      <c r="K160" s="33" t="e">
        <f t="shared" si="41"/>
        <v>#VALUE!</v>
      </c>
      <c r="L160" s="33" t="e">
        <f t="shared" si="36"/>
        <v>#VALUE!</v>
      </c>
      <c r="M160" s="33" t="e">
        <f t="shared" si="42"/>
        <v>#VALUE!</v>
      </c>
      <c r="N160" s="33" t="e">
        <f t="shared" si="43"/>
        <v>#VALUE!</v>
      </c>
      <c r="O160" s="33" t="e">
        <f t="shared" si="44"/>
        <v>#VALUE!</v>
      </c>
      <c r="P160" s="33" t="e">
        <f t="shared" si="45"/>
        <v>#VALUE!</v>
      </c>
      <c r="Q160" t="e">
        <f t="shared" si="46"/>
        <v>#VALUE!</v>
      </c>
    </row>
    <row r="161" spans="1:17" x14ac:dyDescent="0.15">
      <c r="A161" s="30">
        <v>12599369</v>
      </c>
      <c r="C161" s="42" t="e">
        <f t="shared" si="37"/>
        <v>#VALUE!</v>
      </c>
      <c r="D161" s="42" t="e">
        <f t="shared" si="38"/>
        <v>#VALUE!</v>
      </c>
      <c r="E161" s="49" t="e">
        <f t="shared" si="39"/>
        <v>#VALUE!</v>
      </c>
      <c r="F161" s="30" t="e">
        <f t="shared" si="32"/>
        <v>#VALUE!</v>
      </c>
      <c r="G161" s="49" t="e">
        <f t="shared" si="40"/>
        <v>#VALUE!</v>
      </c>
      <c r="H161" s="30" t="e">
        <f t="shared" si="33"/>
        <v>#VALUE!</v>
      </c>
      <c r="I161" s="30" t="e">
        <f t="shared" si="34"/>
        <v>#VALUE!</v>
      </c>
      <c r="J161" s="30" t="e">
        <f t="shared" si="35"/>
        <v>#VALUE!</v>
      </c>
      <c r="K161" s="33" t="e">
        <f t="shared" si="41"/>
        <v>#VALUE!</v>
      </c>
      <c r="L161" s="33" t="e">
        <f t="shared" si="36"/>
        <v>#VALUE!</v>
      </c>
      <c r="M161" s="33" t="e">
        <f t="shared" si="42"/>
        <v>#VALUE!</v>
      </c>
      <c r="N161" s="33" t="e">
        <f t="shared" si="43"/>
        <v>#VALUE!</v>
      </c>
      <c r="O161" s="33" t="e">
        <f t="shared" si="44"/>
        <v>#VALUE!</v>
      </c>
      <c r="P161" s="33" t="e">
        <f t="shared" si="45"/>
        <v>#VALUE!</v>
      </c>
      <c r="Q161" t="e">
        <f t="shared" si="46"/>
        <v>#VALUE!</v>
      </c>
    </row>
    <row r="162" spans="1:17" x14ac:dyDescent="0.15">
      <c r="A162" s="30">
        <v>12111213</v>
      </c>
      <c r="C162" s="42" t="e">
        <f t="shared" si="37"/>
        <v>#VALUE!</v>
      </c>
      <c r="D162" s="42" t="e">
        <f t="shared" si="38"/>
        <v>#VALUE!</v>
      </c>
      <c r="E162" s="49" t="e">
        <f t="shared" si="39"/>
        <v>#VALUE!</v>
      </c>
      <c r="F162" s="30" t="e">
        <f t="shared" si="32"/>
        <v>#VALUE!</v>
      </c>
      <c r="G162" s="49" t="e">
        <f t="shared" si="40"/>
        <v>#VALUE!</v>
      </c>
      <c r="H162" s="30" t="e">
        <f t="shared" si="33"/>
        <v>#VALUE!</v>
      </c>
      <c r="I162" s="30" t="e">
        <f t="shared" si="34"/>
        <v>#VALUE!</v>
      </c>
      <c r="J162" s="30" t="e">
        <f t="shared" si="35"/>
        <v>#VALUE!</v>
      </c>
      <c r="K162" s="33" t="e">
        <f t="shared" si="41"/>
        <v>#VALUE!</v>
      </c>
      <c r="L162" s="33" t="e">
        <f t="shared" si="36"/>
        <v>#VALUE!</v>
      </c>
      <c r="M162" s="33" t="e">
        <f t="shared" si="42"/>
        <v>#VALUE!</v>
      </c>
      <c r="N162" s="33" t="e">
        <f t="shared" si="43"/>
        <v>#VALUE!</v>
      </c>
      <c r="O162" s="33" t="e">
        <f t="shared" si="44"/>
        <v>#VALUE!</v>
      </c>
      <c r="P162" s="33" t="e">
        <f t="shared" si="45"/>
        <v>#VALUE!</v>
      </c>
      <c r="Q162" t="e">
        <f t="shared" si="46"/>
        <v>#VALUE!</v>
      </c>
    </row>
    <row r="163" spans="1:17" x14ac:dyDescent="0.15">
      <c r="A163" s="30">
        <v>12678239</v>
      </c>
      <c r="C163" s="42" t="e">
        <f t="shared" si="37"/>
        <v>#VALUE!</v>
      </c>
      <c r="D163" s="42" t="e">
        <f t="shared" si="38"/>
        <v>#VALUE!</v>
      </c>
      <c r="E163" s="49" t="e">
        <f t="shared" si="39"/>
        <v>#VALUE!</v>
      </c>
      <c r="F163" s="30" t="e">
        <f t="shared" si="32"/>
        <v>#VALUE!</v>
      </c>
      <c r="G163" s="49" t="e">
        <f t="shared" si="40"/>
        <v>#VALUE!</v>
      </c>
      <c r="H163" s="30" t="e">
        <f t="shared" si="33"/>
        <v>#VALUE!</v>
      </c>
      <c r="I163" s="30" t="e">
        <f t="shared" si="34"/>
        <v>#VALUE!</v>
      </c>
      <c r="J163" s="30" t="e">
        <f t="shared" si="35"/>
        <v>#VALUE!</v>
      </c>
      <c r="K163" s="33" t="e">
        <f t="shared" si="41"/>
        <v>#VALUE!</v>
      </c>
      <c r="L163" s="33" t="e">
        <f t="shared" si="36"/>
        <v>#VALUE!</v>
      </c>
      <c r="M163" s="33" t="e">
        <f t="shared" si="42"/>
        <v>#VALUE!</v>
      </c>
      <c r="N163" s="33" t="e">
        <f t="shared" si="43"/>
        <v>#VALUE!</v>
      </c>
      <c r="O163" s="33" t="e">
        <f t="shared" si="44"/>
        <v>#VALUE!</v>
      </c>
      <c r="P163" s="33" t="e">
        <f t="shared" si="45"/>
        <v>#VALUE!</v>
      </c>
      <c r="Q163" t="e">
        <f t="shared" si="46"/>
        <v>#VALUE!</v>
      </c>
    </row>
    <row r="164" spans="1:17" x14ac:dyDescent="0.15">
      <c r="A164" s="30">
        <v>11605971</v>
      </c>
      <c r="C164" s="42" t="e">
        <f t="shared" si="37"/>
        <v>#VALUE!</v>
      </c>
      <c r="D164" s="42" t="e">
        <f t="shared" si="38"/>
        <v>#VALUE!</v>
      </c>
      <c r="E164" s="49" t="e">
        <f t="shared" si="39"/>
        <v>#VALUE!</v>
      </c>
      <c r="F164" s="30" t="e">
        <f t="shared" si="32"/>
        <v>#VALUE!</v>
      </c>
      <c r="G164" s="49" t="e">
        <f t="shared" si="40"/>
        <v>#VALUE!</v>
      </c>
      <c r="H164" s="30" t="e">
        <f t="shared" si="33"/>
        <v>#VALUE!</v>
      </c>
      <c r="I164" s="30" t="e">
        <f t="shared" si="34"/>
        <v>#VALUE!</v>
      </c>
      <c r="J164" s="30" t="e">
        <f t="shared" si="35"/>
        <v>#VALUE!</v>
      </c>
      <c r="K164" s="33" t="e">
        <f t="shared" si="41"/>
        <v>#VALUE!</v>
      </c>
      <c r="L164" s="33" t="e">
        <f t="shared" si="36"/>
        <v>#VALUE!</v>
      </c>
      <c r="M164" s="33" t="e">
        <f t="shared" si="42"/>
        <v>#VALUE!</v>
      </c>
      <c r="N164" s="33" t="e">
        <f t="shared" si="43"/>
        <v>#VALUE!</v>
      </c>
      <c r="O164" s="33" t="e">
        <f t="shared" si="44"/>
        <v>#VALUE!</v>
      </c>
      <c r="P164" s="33" t="e">
        <f t="shared" si="45"/>
        <v>#VALUE!</v>
      </c>
      <c r="Q164" t="e">
        <f t="shared" si="46"/>
        <v>#VALUE!</v>
      </c>
    </row>
    <row r="165" spans="1:17" x14ac:dyDescent="0.15">
      <c r="A165" s="30">
        <v>12045783</v>
      </c>
      <c r="C165" s="42" t="e">
        <f t="shared" si="37"/>
        <v>#VALUE!</v>
      </c>
      <c r="D165" s="42" t="e">
        <f t="shared" si="38"/>
        <v>#VALUE!</v>
      </c>
      <c r="E165" s="49" t="e">
        <f t="shared" si="39"/>
        <v>#VALUE!</v>
      </c>
      <c r="F165" s="30" t="e">
        <f t="shared" si="32"/>
        <v>#VALUE!</v>
      </c>
      <c r="G165" s="49" t="e">
        <f t="shared" si="40"/>
        <v>#VALUE!</v>
      </c>
      <c r="H165" s="30" t="e">
        <f t="shared" si="33"/>
        <v>#VALUE!</v>
      </c>
      <c r="I165" s="30" t="e">
        <f t="shared" si="34"/>
        <v>#VALUE!</v>
      </c>
      <c r="J165" s="30" t="e">
        <f t="shared" si="35"/>
        <v>#VALUE!</v>
      </c>
      <c r="K165" s="33" t="e">
        <f t="shared" si="41"/>
        <v>#VALUE!</v>
      </c>
      <c r="L165" s="33" t="e">
        <f t="shared" si="36"/>
        <v>#VALUE!</v>
      </c>
      <c r="M165" s="33" t="e">
        <f t="shared" si="42"/>
        <v>#VALUE!</v>
      </c>
      <c r="N165" s="33" t="e">
        <f t="shared" si="43"/>
        <v>#VALUE!</v>
      </c>
      <c r="O165" s="33" t="e">
        <f t="shared" si="44"/>
        <v>#VALUE!</v>
      </c>
      <c r="P165" s="33" t="e">
        <f t="shared" si="45"/>
        <v>#VALUE!</v>
      </c>
      <c r="Q165" t="e">
        <f t="shared" si="46"/>
        <v>#VALUE!</v>
      </c>
    </row>
    <row r="166" spans="1:17" x14ac:dyDescent="0.15">
      <c r="A166" s="30">
        <v>98034275</v>
      </c>
      <c r="C166" s="42" t="e">
        <f t="shared" si="37"/>
        <v>#VALUE!</v>
      </c>
      <c r="D166" s="42" t="e">
        <f t="shared" si="38"/>
        <v>#VALUE!</v>
      </c>
      <c r="E166" s="49" t="e">
        <f t="shared" si="39"/>
        <v>#VALUE!</v>
      </c>
      <c r="F166" s="30" t="e">
        <f t="shared" si="32"/>
        <v>#VALUE!</v>
      </c>
      <c r="G166" s="49" t="e">
        <f t="shared" si="40"/>
        <v>#VALUE!</v>
      </c>
      <c r="H166" s="30" t="e">
        <f t="shared" si="33"/>
        <v>#VALUE!</v>
      </c>
      <c r="I166" s="30" t="e">
        <f t="shared" si="34"/>
        <v>#VALUE!</v>
      </c>
      <c r="J166" s="30" t="e">
        <f t="shared" si="35"/>
        <v>#VALUE!</v>
      </c>
      <c r="K166" s="33" t="e">
        <f t="shared" si="41"/>
        <v>#VALUE!</v>
      </c>
      <c r="L166" s="33" t="e">
        <f t="shared" si="36"/>
        <v>#VALUE!</v>
      </c>
      <c r="M166" s="33" t="e">
        <f t="shared" si="42"/>
        <v>#VALUE!</v>
      </c>
      <c r="N166" s="33" t="e">
        <f t="shared" si="43"/>
        <v>#VALUE!</v>
      </c>
      <c r="O166" s="33" t="e">
        <f t="shared" si="44"/>
        <v>#VALUE!</v>
      </c>
      <c r="P166" s="33" t="e">
        <f t="shared" si="45"/>
        <v>#VALUE!</v>
      </c>
      <c r="Q166" t="e">
        <f t="shared" si="46"/>
        <v>#VALUE!</v>
      </c>
    </row>
    <row r="167" spans="1:17" x14ac:dyDescent="0.15">
      <c r="A167" s="30">
        <v>12071876</v>
      </c>
      <c r="C167" s="42" t="e">
        <f t="shared" si="37"/>
        <v>#VALUE!</v>
      </c>
      <c r="D167" s="42" t="e">
        <f t="shared" si="38"/>
        <v>#VALUE!</v>
      </c>
      <c r="E167" s="49" t="e">
        <f t="shared" si="39"/>
        <v>#VALUE!</v>
      </c>
      <c r="F167" s="30" t="e">
        <f t="shared" si="32"/>
        <v>#VALUE!</v>
      </c>
      <c r="G167" s="49" t="e">
        <f t="shared" si="40"/>
        <v>#VALUE!</v>
      </c>
      <c r="H167" s="30" t="e">
        <f t="shared" si="33"/>
        <v>#VALUE!</v>
      </c>
      <c r="I167" s="30" t="e">
        <f t="shared" si="34"/>
        <v>#VALUE!</v>
      </c>
      <c r="J167" s="30" t="e">
        <f t="shared" si="35"/>
        <v>#VALUE!</v>
      </c>
      <c r="K167" s="33" t="e">
        <f t="shared" si="41"/>
        <v>#VALUE!</v>
      </c>
      <c r="L167" s="33" t="e">
        <f t="shared" si="36"/>
        <v>#VALUE!</v>
      </c>
      <c r="M167" s="33" t="e">
        <f t="shared" si="42"/>
        <v>#VALUE!</v>
      </c>
      <c r="N167" s="33" t="e">
        <f t="shared" si="43"/>
        <v>#VALUE!</v>
      </c>
      <c r="O167" s="33" t="e">
        <f t="shared" si="44"/>
        <v>#VALUE!</v>
      </c>
      <c r="P167" s="33" t="e">
        <f t="shared" si="45"/>
        <v>#VALUE!</v>
      </c>
      <c r="Q167" t="e">
        <f t="shared" si="46"/>
        <v>#VALUE!</v>
      </c>
    </row>
    <row r="168" spans="1:17" x14ac:dyDescent="0.15">
      <c r="A168" s="30">
        <v>12050187</v>
      </c>
      <c r="C168" s="42" t="e">
        <f t="shared" si="37"/>
        <v>#VALUE!</v>
      </c>
      <c r="D168" s="42" t="e">
        <f t="shared" si="38"/>
        <v>#VALUE!</v>
      </c>
      <c r="E168" s="49" t="e">
        <f t="shared" si="39"/>
        <v>#VALUE!</v>
      </c>
      <c r="F168" s="30" t="e">
        <f t="shared" si="32"/>
        <v>#VALUE!</v>
      </c>
      <c r="G168" s="49" t="e">
        <f t="shared" si="40"/>
        <v>#VALUE!</v>
      </c>
      <c r="H168" s="30" t="e">
        <f t="shared" si="33"/>
        <v>#VALUE!</v>
      </c>
      <c r="I168" s="30" t="e">
        <f t="shared" si="34"/>
        <v>#VALUE!</v>
      </c>
      <c r="J168" s="30" t="e">
        <f t="shared" si="35"/>
        <v>#VALUE!</v>
      </c>
      <c r="K168" s="33" t="e">
        <f t="shared" si="41"/>
        <v>#VALUE!</v>
      </c>
      <c r="L168" s="33" t="e">
        <f t="shared" si="36"/>
        <v>#VALUE!</v>
      </c>
      <c r="M168" s="33" t="e">
        <f t="shared" si="42"/>
        <v>#VALUE!</v>
      </c>
      <c r="N168" s="33" t="e">
        <f t="shared" si="43"/>
        <v>#VALUE!</v>
      </c>
      <c r="O168" s="33" t="e">
        <f t="shared" si="44"/>
        <v>#VALUE!</v>
      </c>
      <c r="P168" s="33" t="e">
        <f t="shared" si="45"/>
        <v>#VALUE!</v>
      </c>
      <c r="Q168" t="e">
        <f t="shared" si="46"/>
        <v>#VALUE!</v>
      </c>
    </row>
    <row r="169" spans="1:17" x14ac:dyDescent="0.15">
      <c r="A169" s="30">
        <v>11972597</v>
      </c>
      <c r="C169" s="42" t="e">
        <f t="shared" si="37"/>
        <v>#VALUE!</v>
      </c>
      <c r="D169" s="42" t="e">
        <f t="shared" si="38"/>
        <v>#VALUE!</v>
      </c>
      <c r="E169" s="49" t="e">
        <f t="shared" si="39"/>
        <v>#VALUE!</v>
      </c>
      <c r="F169" s="30" t="e">
        <f t="shared" si="32"/>
        <v>#VALUE!</v>
      </c>
      <c r="G169" s="49" t="e">
        <f t="shared" si="40"/>
        <v>#VALUE!</v>
      </c>
      <c r="H169" s="30" t="e">
        <f t="shared" si="33"/>
        <v>#VALUE!</v>
      </c>
      <c r="I169" s="30" t="e">
        <f t="shared" si="34"/>
        <v>#VALUE!</v>
      </c>
      <c r="J169" s="30" t="e">
        <f t="shared" si="35"/>
        <v>#VALUE!</v>
      </c>
      <c r="K169" s="33" t="e">
        <f t="shared" si="41"/>
        <v>#VALUE!</v>
      </c>
      <c r="L169" s="33" t="e">
        <f t="shared" si="36"/>
        <v>#VALUE!</v>
      </c>
      <c r="M169" s="33" t="e">
        <f t="shared" si="42"/>
        <v>#VALUE!</v>
      </c>
      <c r="N169" s="33" t="e">
        <f t="shared" si="43"/>
        <v>#VALUE!</v>
      </c>
      <c r="O169" s="33" t="e">
        <f t="shared" si="44"/>
        <v>#VALUE!</v>
      </c>
      <c r="P169" s="33" t="e">
        <f t="shared" si="45"/>
        <v>#VALUE!</v>
      </c>
      <c r="Q169" t="e">
        <f t="shared" si="46"/>
        <v>#VALUE!</v>
      </c>
    </row>
    <row r="170" spans="1:17" x14ac:dyDescent="0.15">
      <c r="A170" s="30">
        <v>12203307</v>
      </c>
      <c r="C170" s="42" t="e">
        <f t="shared" si="37"/>
        <v>#VALUE!</v>
      </c>
      <c r="D170" s="42" t="e">
        <f t="shared" si="38"/>
        <v>#VALUE!</v>
      </c>
      <c r="E170" s="49" t="e">
        <f t="shared" si="39"/>
        <v>#VALUE!</v>
      </c>
      <c r="F170" s="30" t="e">
        <f t="shared" si="32"/>
        <v>#VALUE!</v>
      </c>
      <c r="G170" s="49" t="e">
        <f t="shared" si="40"/>
        <v>#VALUE!</v>
      </c>
      <c r="H170" s="30" t="e">
        <f t="shared" si="33"/>
        <v>#VALUE!</v>
      </c>
      <c r="I170" s="30" t="e">
        <f t="shared" si="34"/>
        <v>#VALUE!</v>
      </c>
      <c r="J170" s="30" t="e">
        <f t="shared" si="35"/>
        <v>#VALUE!</v>
      </c>
      <c r="K170" s="33" t="e">
        <f t="shared" si="41"/>
        <v>#VALUE!</v>
      </c>
      <c r="L170" s="33" t="e">
        <f t="shared" si="36"/>
        <v>#VALUE!</v>
      </c>
      <c r="M170" s="33" t="e">
        <f t="shared" si="42"/>
        <v>#VALUE!</v>
      </c>
      <c r="N170" s="33" t="e">
        <f t="shared" si="43"/>
        <v>#VALUE!</v>
      </c>
      <c r="O170" s="33" t="e">
        <f t="shared" si="44"/>
        <v>#VALUE!</v>
      </c>
      <c r="P170" s="33" t="e">
        <f t="shared" si="45"/>
        <v>#VALUE!</v>
      </c>
      <c r="Q170" t="e">
        <f t="shared" si="46"/>
        <v>#VALUE!</v>
      </c>
    </row>
    <row r="171" spans="1:17" x14ac:dyDescent="0.15">
      <c r="A171" s="30">
        <v>12598025</v>
      </c>
      <c r="C171" s="42" t="e">
        <f t="shared" si="37"/>
        <v>#VALUE!</v>
      </c>
      <c r="D171" s="42" t="e">
        <f t="shared" si="38"/>
        <v>#VALUE!</v>
      </c>
      <c r="E171" s="49" t="e">
        <f t="shared" si="39"/>
        <v>#VALUE!</v>
      </c>
      <c r="F171" s="30" t="e">
        <f t="shared" si="32"/>
        <v>#VALUE!</v>
      </c>
      <c r="G171" s="49" t="e">
        <f t="shared" si="40"/>
        <v>#VALUE!</v>
      </c>
      <c r="H171" s="30" t="e">
        <f t="shared" si="33"/>
        <v>#VALUE!</v>
      </c>
      <c r="I171" s="30" t="e">
        <f t="shared" si="34"/>
        <v>#VALUE!</v>
      </c>
      <c r="J171" s="30" t="e">
        <f t="shared" si="35"/>
        <v>#VALUE!</v>
      </c>
      <c r="K171" s="33" t="e">
        <f t="shared" si="41"/>
        <v>#VALUE!</v>
      </c>
      <c r="L171" s="33" t="e">
        <f t="shared" si="36"/>
        <v>#VALUE!</v>
      </c>
      <c r="M171" s="33" t="e">
        <f t="shared" si="42"/>
        <v>#VALUE!</v>
      </c>
      <c r="N171" s="33" t="e">
        <f t="shared" si="43"/>
        <v>#VALUE!</v>
      </c>
      <c r="O171" s="33" t="e">
        <f t="shared" si="44"/>
        <v>#VALUE!</v>
      </c>
      <c r="P171" s="33" t="e">
        <f t="shared" si="45"/>
        <v>#VALUE!</v>
      </c>
      <c r="Q171" t="e">
        <f t="shared" si="46"/>
        <v>#VALUE!</v>
      </c>
    </row>
    <row r="172" spans="1:17" x14ac:dyDescent="0.15">
      <c r="A172" s="30">
        <v>98044148</v>
      </c>
      <c r="C172" s="42" t="e">
        <f t="shared" si="37"/>
        <v>#VALUE!</v>
      </c>
      <c r="D172" s="42" t="e">
        <f t="shared" si="38"/>
        <v>#VALUE!</v>
      </c>
      <c r="E172" s="49" t="e">
        <f t="shared" si="39"/>
        <v>#VALUE!</v>
      </c>
      <c r="F172" s="30" t="e">
        <f t="shared" si="32"/>
        <v>#VALUE!</v>
      </c>
      <c r="G172" s="49" t="e">
        <f t="shared" si="40"/>
        <v>#VALUE!</v>
      </c>
      <c r="H172" s="30" t="e">
        <f t="shared" si="33"/>
        <v>#VALUE!</v>
      </c>
      <c r="I172" s="30" t="e">
        <f t="shared" si="34"/>
        <v>#VALUE!</v>
      </c>
      <c r="J172" s="30" t="e">
        <f t="shared" si="35"/>
        <v>#VALUE!</v>
      </c>
      <c r="K172" s="33" t="e">
        <f t="shared" si="41"/>
        <v>#VALUE!</v>
      </c>
      <c r="L172" s="33" t="e">
        <f t="shared" si="36"/>
        <v>#VALUE!</v>
      </c>
      <c r="M172" s="33" t="e">
        <f t="shared" si="42"/>
        <v>#VALUE!</v>
      </c>
      <c r="N172" s="33" t="e">
        <f t="shared" si="43"/>
        <v>#VALUE!</v>
      </c>
      <c r="O172" s="33" t="e">
        <f t="shared" si="44"/>
        <v>#VALUE!</v>
      </c>
      <c r="P172" s="33" t="e">
        <f t="shared" si="45"/>
        <v>#VALUE!</v>
      </c>
      <c r="Q172" t="e">
        <f t="shared" si="46"/>
        <v>#VALUE!</v>
      </c>
    </row>
    <row r="173" spans="1:17" x14ac:dyDescent="0.15">
      <c r="A173" s="30">
        <v>11721685</v>
      </c>
      <c r="C173" s="42" t="e">
        <f t="shared" si="37"/>
        <v>#VALUE!</v>
      </c>
      <c r="D173" s="42" t="e">
        <f t="shared" si="38"/>
        <v>#VALUE!</v>
      </c>
      <c r="E173" s="49" t="e">
        <f t="shared" si="39"/>
        <v>#VALUE!</v>
      </c>
      <c r="F173" s="30" t="e">
        <f t="shared" si="32"/>
        <v>#VALUE!</v>
      </c>
      <c r="G173" s="49" t="e">
        <f t="shared" si="40"/>
        <v>#VALUE!</v>
      </c>
      <c r="H173" s="30" t="e">
        <f t="shared" si="33"/>
        <v>#VALUE!</v>
      </c>
      <c r="I173" s="30" t="e">
        <f t="shared" si="34"/>
        <v>#VALUE!</v>
      </c>
      <c r="J173" s="30" t="e">
        <f t="shared" si="35"/>
        <v>#VALUE!</v>
      </c>
      <c r="K173" s="33" t="e">
        <f t="shared" si="41"/>
        <v>#VALUE!</v>
      </c>
      <c r="L173" s="33" t="e">
        <f t="shared" si="36"/>
        <v>#VALUE!</v>
      </c>
      <c r="M173" s="33" t="e">
        <f t="shared" si="42"/>
        <v>#VALUE!</v>
      </c>
      <c r="N173" s="33" t="e">
        <f t="shared" si="43"/>
        <v>#VALUE!</v>
      </c>
      <c r="O173" s="33" t="e">
        <f t="shared" si="44"/>
        <v>#VALUE!</v>
      </c>
      <c r="P173" s="33" t="e">
        <f t="shared" si="45"/>
        <v>#VALUE!</v>
      </c>
      <c r="Q173" t="e">
        <f t="shared" si="46"/>
        <v>#VALUE!</v>
      </c>
    </row>
    <row r="174" spans="1:17" x14ac:dyDescent="0.15">
      <c r="A174" s="30">
        <v>12009825</v>
      </c>
      <c r="C174" s="42" t="e">
        <f t="shared" si="37"/>
        <v>#VALUE!</v>
      </c>
      <c r="D174" s="42" t="e">
        <f t="shared" si="38"/>
        <v>#VALUE!</v>
      </c>
      <c r="E174" s="49" t="e">
        <f t="shared" si="39"/>
        <v>#VALUE!</v>
      </c>
      <c r="F174" s="30" t="e">
        <f t="shared" si="32"/>
        <v>#VALUE!</v>
      </c>
      <c r="G174" s="49" t="e">
        <f t="shared" si="40"/>
        <v>#VALUE!</v>
      </c>
      <c r="H174" s="30" t="e">
        <f t="shared" si="33"/>
        <v>#VALUE!</v>
      </c>
      <c r="I174" s="30" t="e">
        <f t="shared" si="34"/>
        <v>#VALUE!</v>
      </c>
      <c r="J174" s="30" t="e">
        <f t="shared" si="35"/>
        <v>#VALUE!</v>
      </c>
      <c r="K174" s="33" t="e">
        <f t="shared" si="41"/>
        <v>#VALUE!</v>
      </c>
      <c r="L174" s="33" t="e">
        <f t="shared" si="36"/>
        <v>#VALUE!</v>
      </c>
      <c r="M174" s="33" t="e">
        <f t="shared" si="42"/>
        <v>#VALUE!</v>
      </c>
      <c r="N174" s="33" t="e">
        <f t="shared" si="43"/>
        <v>#VALUE!</v>
      </c>
      <c r="O174" s="33" t="e">
        <f t="shared" si="44"/>
        <v>#VALUE!</v>
      </c>
      <c r="P174" s="33" t="e">
        <f t="shared" si="45"/>
        <v>#VALUE!</v>
      </c>
      <c r="Q174" t="e">
        <f t="shared" si="46"/>
        <v>#VALUE!</v>
      </c>
    </row>
    <row r="175" spans="1:17" x14ac:dyDescent="0.15">
      <c r="A175" s="30">
        <v>98077605</v>
      </c>
      <c r="C175" s="42" t="e">
        <f t="shared" si="37"/>
        <v>#VALUE!</v>
      </c>
      <c r="D175" s="42" t="e">
        <f t="shared" si="38"/>
        <v>#VALUE!</v>
      </c>
      <c r="E175" s="49" t="e">
        <f t="shared" si="39"/>
        <v>#VALUE!</v>
      </c>
      <c r="F175" s="30" t="e">
        <f t="shared" si="32"/>
        <v>#VALUE!</v>
      </c>
      <c r="G175" s="49" t="e">
        <f t="shared" si="40"/>
        <v>#VALUE!</v>
      </c>
      <c r="H175" s="30" t="e">
        <f t="shared" si="33"/>
        <v>#VALUE!</v>
      </c>
      <c r="I175" s="30" t="e">
        <f t="shared" si="34"/>
        <v>#VALUE!</v>
      </c>
      <c r="J175" s="30" t="e">
        <f t="shared" si="35"/>
        <v>#VALUE!</v>
      </c>
      <c r="K175" s="33" t="e">
        <f t="shared" si="41"/>
        <v>#VALUE!</v>
      </c>
      <c r="L175" s="33" t="e">
        <f t="shared" si="36"/>
        <v>#VALUE!</v>
      </c>
      <c r="M175" s="33" t="e">
        <f t="shared" si="42"/>
        <v>#VALUE!</v>
      </c>
      <c r="N175" s="33" t="e">
        <f t="shared" si="43"/>
        <v>#VALUE!</v>
      </c>
      <c r="O175" s="33" t="e">
        <f t="shared" si="44"/>
        <v>#VALUE!</v>
      </c>
      <c r="P175" s="33" t="e">
        <f t="shared" si="45"/>
        <v>#VALUE!</v>
      </c>
      <c r="Q175" t="e">
        <f t="shared" si="46"/>
        <v>#VALUE!</v>
      </c>
    </row>
    <row r="176" spans="1:17" x14ac:dyDescent="0.15">
      <c r="A176" s="30">
        <v>99119733</v>
      </c>
      <c r="C176" s="42" t="e">
        <f t="shared" si="37"/>
        <v>#VALUE!</v>
      </c>
      <c r="D176" s="42" t="e">
        <f t="shared" si="38"/>
        <v>#VALUE!</v>
      </c>
      <c r="E176" s="49" t="e">
        <f t="shared" si="39"/>
        <v>#VALUE!</v>
      </c>
      <c r="F176" s="30" t="e">
        <f t="shared" si="32"/>
        <v>#VALUE!</v>
      </c>
      <c r="G176" s="49" t="e">
        <f t="shared" si="40"/>
        <v>#VALUE!</v>
      </c>
      <c r="H176" s="30" t="e">
        <f t="shared" si="33"/>
        <v>#VALUE!</v>
      </c>
      <c r="I176" s="30" t="e">
        <f t="shared" si="34"/>
        <v>#VALUE!</v>
      </c>
      <c r="J176" s="30" t="e">
        <f t="shared" si="35"/>
        <v>#VALUE!</v>
      </c>
      <c r="K176" s="33" t="e">
        <f t="shared" si="41"/>
        <v>#VALUE!</v>
      </c>
      <c r="L176" s="33" t="e">
        <f t="shared" si="36"/>
        <v>#VALUE!</v>
      </c>
      <c r="M176" s="33" t="e">
        <f t="shared" si="42"/>
        <v>#VALUE!</v>
      </c>
      <c r="N176" s="33" t="e">
        <f t="shared" si="43"/>
        <v>#VALUE!</v>
      </c>
      <c r="O176" s="33" t="e">
        <f t="shared" si="44"/>
        <v>#VALUE!</v>
      </c>
      <c r="P176" s="33" t="e">
        <f t="shared" si="45"/>
        <v>#VALUE!</v>
      </c>
      <c r="Q176" t="e">
        <f t="shared" si="46"/>
        <v>#VALUE!</v>
      </c>
    </row>
    <row r="177" spans="1:17" x14ac:dyDescent="0.15">
      <c r="A177" s="30">
        <v>10684304</v>
      </c>
      <c r="C177" s="42" t="e">
        <f t="shared" si="37"/>
        <v>#VALUE!</v>
      </c>
      <c r="D177" s="42" t="e">
        <f t="shared" si="38"/>
        <v>#VALUE!</v>
      </c>
      <c r="E177" s="49" t="e">
        <f t="shared" si="39"/>
        <v>#VALUE!</v>
      </c>
      <c r="F177" s="30" t="e">
        <f t="shared" si="32"/>
        <v>#VALUE!</v>
      </c>
      <c r="G177" s="49" t="e">
        <f t="shared" si="40"/>
        <v>#VALUE!</v>
      </c>
      <c r="H177" s="30" t="e">
        <f t="shared" si="33"/>
        <v>#VALUE!</v>
      </c>
      <c r="I177" s="30" t="e">
        <f t="shared" si="34"/>
        <v>#VALUE!</v>
      </c>
      <c r="J177" s="30" t="e">
        <f t="shared" si="35"/>
        <v>#VALUE!</v>
      </c>
      <c r="K177" s="33" t="e">
        <f t="shared" si="41"/>
        <v>#VALUE!</v>
      </c>
      <c r="L177" s="33" t="e">
        <f t="shared" si="36"/>
        <v>#VALUE!</v>
      </c>
      <c r="M177" s="33" t="e">
        <f t="shared" si="42"/>
        <v>#VALUE!</v>
      </c>
      <c r="N177" s="33" t="e">
        <f t="shared" si="43"/>
        <v>#VALUE!</v>
      </c>
      <c r="O177" s="33" t="e">
        <f t="shared" si="44"/>
        <v>#VALUE!</v>
      </c>
      <c r="P177" s="33" t="e">
        <f t="shared" si="45"/>
        <v>#VALUE!</v>
      </c>
      <c r="Q177" t="e">
        <f t="shared" si="46"/>
        <v>#VALUE!</v>
      </c>
    </row>
    <row r="178" spans="1:17" x14ac:dyDescent="0.15">
      <c r="A178" s="30">
        <v>11605375</v>
      </c>
      <c r="C178" s="42" t="e">
        <f t="shared" si="37"/>
        <v>#VALUE!</v>
      </c>
      <c r="D178" s="42" t="e">
        <f t="shared" si="38"/>
        <v>#VALUE!</v>
      </c>
      <c r="E178" s="49" t="e">
        <f t="shared" si="39"/>
        <v>#VALUE!</v>
      </c>
      <c r="F178" s="30" t="e">
        <f t="shared" si="32"/>
        <v>#VALUE!</v>
      </c>
      <c r="G178" s="49" t="e">
        <f t="shared" si="40"/>
        <v>#VALUE!</v>
      </c>
      <c r="H178" s="30" t="e">
        <f t="shared" si="33"/>
        <v>#VALUE!</v>
      </c>
      <c r="I178" s="30" t="e">
        <f t="shared" si="34"/>
        <v>#VALUE!</v>
      </c>
      <c r="J178" s="30" t="e">
        <f t="shared" si="35"/>
        <v>#VALUE!</v>
      </c>
      <c r="K178" s="33" t="e">
        <f t="shared" si="41"/>
        <v>#VALUE!</v>
      </c>
      <c r="L178" s="33" t="e">
        <f t="shared" si="36"/>
        <v>#VALUE!</v>
      </c>
      <c r="M178" s="33" t="e">
        <f t="shared" si="42"/>
        <v>#VALUE!</v>
      </c>
      <c r="N178" s="33" t="e">
        <f t="shared" si="43"/>
        <v>#VALUE!</v>
      </c>
      <c r="O178" s="33" t="e">
        <f t="shared" si="44"/>
        <v>#VALUE!</v>
      </c>
      <c r="P178" s="33" t="e">
        <f t="shared" si="45"/>
        <v>#VALUE!</v>
      </c>
      <c r="Q178" t="e">
        <f t="shared" si="46"/>
        <v>#VALUE!</v>
      </c>
    </row>
    <row r="179" spans="1:17" x14ac:dyDescent="0.15">
      <c r="A179" s="30">
        <v>12617736</v>
      </c>
      <c r="C179" s="42" t="e">
        <f t="shared" si="37"/>
        <v>#VALUE!</v>
      </c>
      <c r="D179" s="42" t="e">
        <f t="shared" si="38"/>
        <v>#VALUE!</v>
      </c>
      <c r="E179" s="49" t="e">
        <f t="shared" si="39"/>
        <v>#VALUE!</v>
      </c>
      <c r="F179" s="30" t="e">
        <f t="shared" si="32"/>
        <v>#VALUE!</v>
      </c>
      <c r="G179" s="49" t="e">
        <f t="shared" si="40"/>
        <v>#VALUE!</v>
      </c>
      <c r="H179" s="30" t="e">
        <f t="shared" si="33"/>
        <v>#VALUE!</v>
      </c>
      <c r="I179" s="30" t="e">
        <f t="shared" si="34"/>
        <v>#VALUE!</v>
      </c>
      <c r="J179" s="30" t="e">
        <f t="shared" si="35"/>
        <v>#VALUE!</v>
      </c>
      <c r="K179" s="33" t="e">
        <f t="shared" si="41"/>
        <v>#VALUE!</v>
      </c>
      <c r="L179" s="33" t="e">
        <f t="shared" si="36"/>
        <v>#VALUE!</v>
      </c>
      <c r="M179" s="33" t="e">
        <f t="shared" si="42"/>
        <v>#VALUE!</v>
      </c>
      <c r="N179" s="33" t="e">
        <f t="shared" si="43"/>
        <v>#VALUE!</v>
      </c>
      <c r="O179" s="33" t="e">
        <f t="shared" si="44"/>
        <v>#VALUE!</v>
      </c>
      <c r="P179" s="33" t="e">
        <f t="shared" si="45"/>
        <v>#VALUE!</v>
      </c>
      <c r="Q179" t="e">
        <f t="shared" si="46"/>
        <v>#VALUE!</v>
      </c>
    </row>
    <row r="180" spans="1:17" x14ac:dyDescent="0.15">
      <c r="A180" s="30">
        <v>97105074</v>
      </c>
      <c r="C180" s="42" t="e">
        <f t="shared" si="37"/>
        <v>#VALUE!</v>
      </c>
      <c r="D180" s="42" t="e">
        <f t="shared" si="38"/>
        <v>#VALUE!</v>
      </c>
      <c r="E180" s="49" t="e">
        <f t="shared" si="39"/>
        <v>#VALUE!</v>
      </c>
      <c r="F180" s="30" t="e">
        <f t="shared" si="32"/>
        <v>#VALUE!</v>
      </c>
      <c r="G180" s="49" t="e">
        <f t="shared" si="40"/>
        <v>#VALUE!</v>
      </c>
      <c r="H180" s="30" t="e">
        <f t="shared" si="33"/>
        <v>#VALUE!</v>
      </c>
      <c r="I180" s="30" t="e">
        <f t="shared" si="34"/>
        <v>#VALUE!</v>
      </c>
      <c r="J180" s="30" t="e">
        <f t="shared" si="35"/>
        <v>#VALUE!</v>
      </c>
      <c r="K180" s="33" t="e">
        <f t="shared" si="41"/>
        <v>#VALUE!</v>
      </c>
      <c r="L180" s="33" t="e">
        <f t="shared" si="36"/>
        <v>#VALUE!</v>
      </c>
      <c r="M180" s="33" t="e">
        <f t="shared" si="42"/>
        <v>#VALUE!</v>
      </c>
      <c r="N180" s="33" t="e">
        <f t="shared" si="43"/>
        <v>#VALUE!</v>
      </c>
      <c r="O180" s="33" t="e">
        <f t="shared" si="44"/>
        <v>#VALUE!</v>
      </c>
      <c r="P180" s="33" t="e">
        <f t="shared" si="45"/>
        <v>#VALUE!</v>
      </c>
      <c r="Q180" t="e">
        <f t="shared" si="46"/>
        <v>#VALUE!</v>
      </c>
    </row>
    <row r="181" spans="1:17" x14ac:dyDescent="0.15">
      <c r="A181" s="30">
        <v>98079445</v>
      </c>
      <c r="C181" s="42" t="e">
        <f t="shared" si="37"/>
        <v>#VALUE!</v>
      </c>
      <c r="D181" s="42" t="e">
        <f t="shared" si="38"/>
        <v>#VALUE!</v>
      </c>
      <c r="E181" s="49" t="e">
        <f t="shared" si="39"/>
        <v>#VALUE!</v>
      </c>
      <c r="F181" s="30" t="e">
        <f t="shared" si="32"/>
        <v>#VALUE!</v>
      </c>
      <c r="G181" s="49" t="e">
        <f t="shared" si="40"/>
        <v>#VALUE!</v>
      </c>
      <c r="H181" s="30" t="e">
        <f t="shared" si="33"/>
        <v>#VALUE!</v>
      </c>
      <c r="I181" s="30" t="e">
        <f t="shared" si="34"/>
        <v>#VALUE!</v>
      </c>
      <c r="J181" s="30" t="e">
        <f t="shared" si="35"/>
        <v>#VALUE!</v>
      </c>
      <c r="K181" s="33" t="e">
        <f t="shared" si="41"/>
        <v>#VALUE!</v>
      </c>
      <c r="L181" s="33" t="e">
        <f t="shared" si="36"/>
        <v>#VALUE!</v>
      </c>
      <c r="M181" s="33" t="e">
        <f t="shared" si="42"/>
        <v>#VALUE!</v>
      </c>
      <c r="N181" s="33" t="e">
        <f t="shared" si="43"/>
        <v>#VALUE!</v>
      </c>
      <c r="O181" s="33" t="e">
        <f t="shared" si="44"/>
        <v>#VALUE!</v>
      </c>
      <c r="P181" s="33" t="e">
        <f t="shared" si="45"/>
        <v>#VALUE!</v>
      </c>
      <c r="Q181" t="e">
        <f t="shared" si="46"/>
        <v>#VALUE!</v>
      </c>
    </row>
    <row r="182" spans="1:17" x14ac:dyDescent="0.15">
      <c r="A182" s="30">
        <v>11657158</v>
      </c>
      <c r="C182" s="42" t="e">
        <f t="shared" si="37"/>
        <v>#VALUE!</v>
      </c>
      <c r="D182" s="42" t="e">
        <f t="shared" si="38"/>
        <v>#VALUE!</v>
      </c>
      <c r="E182" s="49" t="e">
        <f t="shared" si="39"/>
        <v>#VALUE!</v>
      </c>
      <c r="F182" s="30" t="e">
        <f t="shared" si="32"/>
        <v>#VALUE!</v>
      </c>
      <c r="G182" s="49" t="e">
        <f t="shared" si="40"/>
        <v>#VALUE!</v>
      </c>
      <c r="H182" s="30" t="e">
        <f t="shared" si="33"/>
        <v>#VALUE!</v>
      </c>
      <c r="I182" s="30" t="e">
        <f t="shared" si="34"/>
        <v>#VALUE!</v>
      </c>
      <c r="J182" s="30" t="e">
        <f t="shared" si="35"/>
        <v>#VALUE!</v>
      </c>
      <c r="K182" s="33" t="e">
        <f t="shared" si="41"/>
        <v>#VALUE!</v>
      </c>
      <c r="L182" s="33" t="e">
        <f t="shared" si="36"/>
        <v>#VALUE!</v>
      </c>
      <c r="M182" s="33" t="e">
        <f t="shared" si="42"/>
        <v>#VALUE!</v>
      </c>
      <c r="N182" s="33" t="e">
        <f t="shared" si="43"/>
        <v>#VALUE!</v>
      </c>
      <c r="O182" s="33" t="e">
        <f t="shared" si="44"/>
        <v>#VALUE!</v>
      </c>
      <c r="P182" s="33" t="e">
        <f t="shared" si="45"/>
        <v>#VALUE!</v>
      </c>
      <c r="Q182" t="e">
        <f t="shared" si="46"/>
        <v>#VALUE!</v>
      </c>
    </row>
    <row r="183" spans="1:17" x14ac:dyDescent="0.15">
      <c r="A183" s="30">
        <v>11023482</v>
      </c>
      <c r="C183" s="42" t="e">
        <f t="shared" si="37"/>
        <v>#VALUE!</v>
      </c>
      <c r="D183" s="42" t="e">
        <f t="shared" si="38"/>
        <v>#VALUE!</v>
      </c>
      <c r="E183" s="49" t="e">
        <f t="shared" si="39"/>
        <v>#VALUE!</v>
      </c>
      <c r="F183" s="30" t="e">
        <f t="shared" si="32"/>
        <v>#VALUE!</v>
      </c>
      <c r="G183" s="49" t="e">
        <f t="shared" si="40"/>
        <v>#VALUE!</v>
      </c>
      <c r="H183" s="30" t="e">
        <f t="shared" si="33"/>
        <v>#VALUE!</v>
      </c>
      <c r="I183" s="30" t="e">
        <f t="shared" si="34"/>
        <v>#VALUE!</v>
      </c>
      <c r="J183" s="30" t="e">
        <f t="shared" si="35"/>
        <v>#VALUE!</v>
      </c>
      <c r="K183" s="33" t="e">
        <f t="shared" si="41"/>
        <v>#VALUE!</v>
      </c>
      <c r="L183" s="33" t="e">
        <f t="shared" si="36"/>
        <v>#VALUE!</v>
      </c>
      <c r="M183" s="33" t="e">
        <f t="shared" si="42"/>
        <v>#VALUE!</v>
      </c>
      <c r="N183" s="33" t="e">
        <f t="shared" si="43"/>
        <v>#VALUE!</v>
      </c>
      <c r="O183" s="33" t="e">
        <f t="shared" si="44"/>
        <v>#VALUE!</v>
      </c>
      <c r="P183" s="33" t="e">
        <f t="shared" si="45"/>
        <v>#VALUE!</v>
      </c>
      <c r="Q183" t="e">
        <f t="shared" si="46"/>
        <v>#VALUE!</v>
      </c>
    </row>
    <row r="184" spans="1:17" s="29" customFormat="1" x14ac:dyDescent="0.15">
      <c r="A184" s="50">
        <v>11709159</v>
      </c>
      <c r="B184" s="50"/>
      <c r="C184" s="42" t="e">
        <f t="shared" si="37"/>
        <v>#VALUE!</v>
      </c>
      <c r="D184" s="42" t="e">
        <f t="shared" si="38"/>
        <v>#VALUE!</v>
      </c>
      <c r="E184" s="49" t="e">
        <f t="shared" si="39"/>
        <v>#VALUE!</v>
      </c>
      <c r="F184" s="50" t="e">
        <f t="shared" si="32"/>
        <v>#VALUE!</v>
      </c>
      <c r="G184" s="49" t="e">
        <f t="shared" si="40"/>
        <v>#VALUE!</v>
      </c>
      <c r="H184" s="50" t="e">
        <f t="shared" si="33"/>
        <v>#VALUE!</v>
      </c>
      <c r="I184" s="50" t="e">
        <f t="shared" si="34"/>
        <v>#VALUE!</v>
      </c>
      <c r="J184" s="50" t="e">
        <f t="shared" si="35"/>
        <v>#VALUE!</v>
      </c>
      <c r="K184" s="51" t="e">
        <f t="shared" si="41"/>
        <v>#VALUE!</v>
      </c>
      <c r="L184" s="51" t="e">
        <f t="shared" si="36"/>
        <v>#VALUE!</v>
      </c>
      <c r="M184" s="51" t="e">
        <f t="shared" si="42"/>
        <v>#VALUE!</v>
      </c>
      <c r="N184" s="51" t="e">
        <f t="shared" si="43"/>
        <v>#VALUE!</v>
      </c>
      <c r="O184" s="51" t="e">
        <f t="shared" si="44"/>
        <v>#VALUE!</v>
      </c>
      <c r="P184" s="51" t="e">
        <f t="shared" si="45"/>
        <v>#VALUE!</v>
      </c>
      <c r="Q184" t="e">
        <f t="shared" si="46"/>
        <v>#VALUE!</v>
      </c>
    </row>
    <row r="185" spans="1:17" x14ac:dyDescent="0.15">
      <c r="A185" s="30">
        <v>97119604</v>
      </c>
      <c r="C185" s="42" t="e">
        <f t="shared" si="37"/>
        <v>#VALUE!</v>
      </c>
      <c r="D185" s="42" t="e">
        <f t="shared" si="38"/>
        <v>#VALUE!</v>
      </c>
      <c r="E185" s="49" t="e">
        <f t="shared" si="39"/>
        <v>#VALUE!</v>
      </c>
      <c r="F185" s="30" t="e">
        <f t="shared" si="32"/>
        <v>#VALUE!</v>
      </c>
      <c r="G185" s="49" t="e">
        <f t="shared" si="40"/>
        <v>#VALUE!</v>
      </c>
      <c r="H185" s="30" t="e">
        <f t="shared" si="33"/>
        <v>#VALUE!</v>
      </c>
      <c r="I185" s="30" t="e">
        <f t="shared" si="34"/>
        <v>#VALUE!</v>
      </c>
      <c r="J185" s="30" t="e">
        <f t="shared" si="35"/>
        <v>#VALUE!</v>
      </c>
      <c r="K185" s="33" t="e">
        <f t="shared" si="41"/>
        <v>#VALUE!</v>
      </c>
      <c r="L185" s="33" t="e">
        <f t="shared" si="36"/>
        <v>#VALUE!</v>
      </c>
      <c r="M185" s="33" t="e">
        <f t="shared" si="42"/>
        <v>#VALUE!</v>
      </c>
      <c r="N185" s="33" t="e">
        <f t="shared" si="43"/>
        <v>#VALUE!</v>
      </c>
      <c r="O185" s="33" t="e">
        <f t="shared" si="44"/>
        <v>#VALUE!</v>
      </c>
      <c r="P185" s="33" t="e">
        <f t="shared" si="45"/>
        <v>#VALUE!</v>
      </c>
      <c r="Q185" t="e">
        <f t="shared" si="46"/>
        <v>#VALUE!</v>
      </c>
    </row>
    <row r="186" spans="1:17" x14ac:dyDescent="0.15">
      <c r="A186" s="30">
        <v>11699752</v>
      </c>
      <c r="C186" s="42" t="e">
        <f t="shared" si="37"/>
        <v>#VALUE!</v>
      </c>
      <c r="D186" s="42" t="e">
        <f t="shared" si="38"/>
        <v>#VALUE!</v>
      </c>
      <c r="E186" s="49" t="e">
        <f t="shared" si="39"/>
        <v>#VALUE!</v>
      </c>
      <c r="F186" s="30" t="e">
        <f t="shared" si="32"/>
        <v>#VALUE!</v>
      </c>
      <c r="G186" s="49" t="e">
        <f t="shared" si="40"/>
        <v>#VALUE!</v>
      </c>
      <c r="H186" s="30" t="e">
        <f t="shared" si="33"/>
        <v>#VALUE!</v>
      </c>
      <c r="I186" s="30" t="e">
        <f t="shared" si="34"/>
        <v>#VALUE!</v>
      </c>
      <c r="J186" s="30" t="e">
        <f t="shared" si="35"/>
        <v>#VALUE!</v>
      </c>
      <c r="K186" s="33" t="e">
        <f t="shared" si="41"/>
        <v>#VALUE!</v>
      </c>
      <c r="L186" s="33" t="e">
        <f t="shared" si="36"/>
        <v>#VALUE!</v>
      </c>
      <c r="M186" s="33" t="e">
        <f t="shared" si="42"/>
        <v>#VALUE!</v>
      </c>
      <c r="N186" s="33" t="e">
        <f t="shared" si="43"/>
        <v>#VALUE!</v>
      </c>
      <c r="O186" s="33" t="e">
        <f t="shared" si="44"/>
        <v>#VALUE!</v>
      </c>
      <c r="P186" s="33" t="e">
        <f t="shared" si="45"/>
        <v>#VALUE!</v>
      </c>
      <c r="Q186" t="e">
        <f t="shared" si="46"/>
        <v>#VALUE!</v>
      </c>
    </row>
    <row r="187" spans="1:17" x14ac:dyDescent="0.15">
      <c r="A187" s="30">
        <v>12022467</v>
      </c>
      <c r="C187" s="42" t="e">
        <f t="shared" si="37"/>
        <v>#VALUE!</v>
      </c>
      <c r="D187" s="42" t="e">
        <f t="shared" si="38"/>
        <v>#VALUE!</v>
      </c>
      <c r="E187" s="49" t="e">
        <f t="shared" si="39"/>
        <v>#VALUE!</v>
      </c>
      <c r="F187" s="30" t="e">
        <f t="shared" si="32"/>
        <v>#VALUE!</v>
      </c>
      <c r="G187" s="49" t="e">
        <f t="shared" si="40"/>
        <v>#VALUE!</v>
      </c>
      <c r="H187" s="30" t="e">
        <f t="shared" si="33"/>
        <v>#VALUE!</v>
      </c>
      <c r="I187" s="30" t="e">
        <f t="shared" si="34"/>
        <v>#VALUE!</v>
      </c>
      <c r="J187" s="30" t="e">
        <f t="shared" si="35"/>
        <v>#VALUE!</v>
      </c>
      <c r="K187" s="33" t="e">
        <f t="shared" si="41"/>
        <v>#VALUE!</v>
      </c>
      <c r="L187" s="33" t="e">
        <f t="shared" si="36"/>
        <v>#VALUE!</v>
      </c>
      <c r="M187" s="33" t="e">
        <f t="shared" si="42"/>
        <v>#VALUE!</v>
      </c>
      <c r="N187" s="33" t="e">
        <f t="shared" si="43"/>
        <v>#VALUE!</v>
      </c>
      <c r="O187" s="33" t="e">
        <f t="shared" si="44"/>
        <v>#VALUE!</v>
      </c>
      <c r="P187" s="33" t="e">
        <f t="shared" si="45"/>
        <v>#VALUE!</v>
      </c>
      <c r="Q187" t="e">
        <f t="shared" si="46"/>
        <v>#VALUE!</v>
      </c>
    </row>
    <row r="188" spans="1:17" x14ac:dyDescent="0.15">
      <c r="A188" s="30">
        <v>11707496</v>
      </c>
      <c r="C188" s="42" t="e">
        <f t="shared" si="37"/>
        <v>#VALUE!</v>
      </c>
      <c r="D188" s="42" t="e">
        <f t="shared" si="38"/>
        <v>#VALUE!</v>
      </c>
      <c r="E188" s="49" t="e">
        <f t="shared" si="39"/>
        <v>#VALUE!</v>
      </c>
      <c r="F188" s="30" t="e">
        <f t="shared" si="32"/>
        <v>#VALUE!</v>
      </c>
      <c r="G188" s="49" t="e">
        <f t="shared" si="40"/>
        <v>#VALUE!</v>
      </c>
      <c r="H188" s="30" t="e">
        <f t="shared" si="33"/>
        <v>#VALUE!</v>
      </c>
      <c r="I188" s="30" t="e">
        <f t="shared" si="34"/>
        <v>#VALUE!</v>
      </c>
      <c r="J188" s="30" t="e">
        <f t="shared" si="35"/>
        <v>#VALUE!</v>
      </c>
      <c r="K188" s="33" t="e">
        <f t="shared" si="41"/>
        <v>#VALUE!</v>
      </c>
      <c r="L188" s="33" t="e">
        <f t="shared" si="36"/>
        <v>#VALUE!</v>
      </c>
      <c r="M188" s="33" t="e">
        <f t="shared" si="42"/>
        <v>#VALUE!</v>
      </c>
      <c r="N188" s="33" t="e">
        <f t="shared" si="43"/>
        <v>#VALUE!</v>
      </c>
      <c r="O188" s="33" t="e">
        <f t="shared" si="44"/>
        <v>#VALUE!</v>
      </c>
      <c r="P188" s="33" t="e">
        <f t="shared" si="45"/>
        <v>#VALUE!</v>
      </c>
      <c r="Q188" t="e">
        <f t="shared" si="46"/>
        <v>#VALUE!</v>
      </c>
    </row>
    <row r="189" spans="1:17" x14ac:dyDescent="0.15">
      <c r="A189" s="30">
        <v>98129873</v>
      </c>
      <c r="C189" s="42" t="e">
        <f t="shared" si="37"/>
        <v>#VALUE!</v>
      </c>
      <c r="D189" s="42" t="e">
        <f t="shared" si="38"/>
        <v>#VALUE!</v>
      </c>
      <c r="E189" s="49" t="e">
        <f t="shared" si="39"/>
        <v>#VALUE!</v>
      </c>
      <c r="F189" s="30" t="e">
        <f t="shared" si="32"/>
        <v>#VALUE!</v>
      </c>
      <c r="G189" s="49" t="e">
        <f t="shared" si="40"/>
        <v>#VALUE!</v>
      </c>
      <c r="H189" s="30" t="e">
        <f t="shared" si="33"/>
        <v>#VALUE!</v>
      </c>
      <c r="I189" s="30" t="e">
        <f t="shared" si="34"/>
        <v>#VALUE!</v>
      </c>
      <c r="J189" s="30" t="e">
        <f t="shared" si="35"/>
        <v>#VALUE!</v>
      </c>
      <c r="K189" s="33" t="e">
        <f t="shared" si="41"/>
        <v>#VALUE!</v>
      </c>
      <c r="L189" s="33" t="e">
        <f t="shared" si="36"/>
        <v>#VALUE!</v>
      </c>
      <c r="M189" s="33" t="e">
        <f t="shared" si="42"/>
        <v>#VALUE!</v>
      </c>
      <c r="N189" s="33" t="e">
        <f t="shared" si="43"/>
        <v>#VALUE!</v>
      </c>
      <c r="O189" s="33" t="e">
        <f t="shared" si="44"/>
        <v>#VALUE!</v>
      </c>
      <c r="P189" s="33" t="e">
        <f t="shared" si="45"/>
        <v>#VALUE!</v>
      </c>
      <c r="Q189" t="e">
        <f t="shared" si="46"/>
        <v>#VALUE!</v>
      </c>
    </row>
    <row r="190" spans="1:17" x14ac:dyDescent="0.15">
      <c r="A190" s="30">
        <v>11768660</v>
      </c>
      <c r="C190" s="42" t="e">
        <f t="shared" si="37"/>
        <v>#VALUE!</v>
      </c>
      <c r="D190" s="42" t="e">
        <f t="shared" si="38"/>
        <v>#VALUE!</v>
      </c>
      <c r="E190" s="49" t="e">
        <f t="shared" si="39"/>
        <v>#VALUE!</v>
      </c>
      <c r="F190" s="30" t="e">
        <f t="shared" si="32"/>
        <v>#VALUE!</v>
      </c>
      <c r="G190" s="49" t="e">
        <f t="shared" si="40"/>
        <v>#VALUE!</v>
      </c>
      <c r="H190" s="30" t="e">
        <f t="shared" si="33"/>
        <v>#VALUE!</v>
      </c>
      <c r="I190" s="30" t="e">
        <f t="shared" si="34"/>
        <v>#VALUE!</v>
      </c>
      <c r="J190" s="30" t="e">
        <f t="shared" si="35"/>
        <v>#VALUE!</v>
      </c>
      <c r="K190" s="33" t="e">
        <f t="shared" si="41"/>
        <v>#VALUE!</v>
      </c>
      <c r="L190" s="33" t="e">
        <f t="shared" si="36"/>
        <v>#VALUE!</v>
      </c>
      <c r="M190" s="33" t="e">
        <f t="shared" si="42"/>
        <v>#VALUE!</v>
      </c>
      <c r="N190" s="33" t="e">
        <f t="shared" si="43"/>
        <v>#VALUE!</v>
      </c>
      <c r="O190" s="33" t="e">
        <f t="shared" si="44"/>
        <v>#VALUE!</v>
      </c>
      <c r="P190" s="33" t="e">
        <f t="shared" si="45"/>
        <v>#VALUE!</v>
      </c>
      <c r="Q190" t="e">
        <f t="shared" si="46"/>
        <v>#VALUE!</v>
      </c>
    </row>
    <row r="191" spans="1:17" x14ac:dyDescent="0.15">
      <c r="A191" s="30">
        <v>11902552</v>
      </c>
      <c r="C191" s="42" t="e">
        <f t="shared" si="37"/>
        <v>#VALUE!</v>
      </c>
      <c r="D191" s="42" t="e">
        <f t="shared" si="38"/>
        <v>#VALUE!</v>
      </c>
      <c r="E191" s="49" t="e">
        <f t="shared" si="39"/>
        <v>#VALUE!</v>
      </c>
      <c r="F191" s="30" t="e">
        <f t="shared" si="32"/>
        <v>#VALUE!</v>
      </c>
      <c r="G191" s="49" t="e">
        <f t="shared" si="40"/>
        <v>#VALUE!</v>
      </c>
      <c r="H191" s="30" t="e">
        <f t="shared" si="33"/>
        <v>#VALUE!</v>
      </c>
      <c r="I191" s="30" t="e">
        <f t="shared" si="34"/>
        <v>#VALUE!</v>
      </c>
      <c r="J191" s="30" t="e">
        <f t="shared" si="35"/>
        <v>#VALUE!</v>
      </c>
      <c r="K191" s="33" t="e">
        <f t="shared" si="41"/>
        <v>#VALUE!</v>
      </c>
      <c r="L191" s="33" t="e">
        <f t="shared" si="36"/>
        <v>#VALUE!</v>
      </c>
      <c r="M191" s="33" t="e">
        <f t="shared" si="42"/>
        <v>#VALUE!</v>
      </c>
      <c r="N191" s="33" t="e">
        <f t="shared" si="43"/>
        <v>#VALUE!</v>
      </c>
      <c r="O191" s="33" t="e">
        <f t="shared" si="44"/>
        <v>#VALUE!</v>
      </c>
      <c r="P191" s="33" t="e">
        <f t="shared" si="45"/>
        <v>#VALUE!</v>
      </c>
      <c r="Q191" t="e">
        <f t="shared" si="46"/>
        <v>#VALUE!</v>
      </c>
    </row>
    <row r="192" spans="1:17" x14ac:dyDescent="0.15">
      <c r="A192" s="30">
        <v>11695626</v>
      </c>
      <c r="C192" s="42" t="e">
        <f t="shared" si="37"/>
        <v>#VALUE!</v>
      </c>
      <c r="D192" s="42" t="e">
        <f t="shared" si="38"/>
        <v>#VALUE!</v>
      </c>
      <c r="E192" s="49" t="e">
        <f t="shared" si="39"/>
        <v>#VALUE!</v>
      </c>
      <c r="F192" s="30" t="e">
        <f t="shared" si="32"/>
        <v>#VALUE!</v>
      </c>
      <c r="G192" s="49" t="e">
        <f t="shared" si="40"/>
        <v>#VALUE!</v>
      </c>
      <c r="H192" s="30" t="e">
        <f t="shared" si="33"/>
        <v>#VALUE!</v>
      </c>
      <c r="I192" s="30" t="e">
        <f t="shared" si="34"/>
        <v>#VALUE!</v>
      </c>
      <c r="J192" s="30" t="e">
        <f t="shared" si="35"/>
        <v>#VALUE!</v>
      </c>
      <c r="K192" s="33" t="e">
        <f t="shared" si="41"/>
        <v>#VALUE!</v>
      </c>
      <c r="L192" s="33" t="e">
        <f t="shared" si="36"/>
        <v>#VALUE!</v>
      </c>
      <c r="M192" s="33" t="e">
        <f t="shared" si="42"/>
        <v>#VALUE!</v>
      </c>
      <c r="N192" s="33" t="e">
        <f t="shared" si="43"/>
        <v>#VALUE!</v>
      </c>
      <c r="O192" s="33" t="e">
        <f t="shared" si="44"/>
        <v>#VALUE!</v>
      </c>
      <c r="P192" s="33" t="e">
        <f t="shared" si="45"/>
        <v>#VALUE!</v>
      </c>
      <c r="Q192" t="e">
        <f t="shared" si="46"/>
        <v>#VALUE!</v>
      </c>
    </row>
    <row r="193" spans="1:17" x14ac:dyDescent="0.15">
      <c r="A193" s="30">
        <v>97116370</v>
      </c>
      <c r="C193" s="42" t="e">
        <f t="shared" si="37"/>
        <v>#VALUE!</v>
      </c>
      <c r="D193" s="42" t="e">
        <f t="shared" si="38"/>
        <v>#VALUE!</v>
      </c>
      <c r="E193" s="49" t="e">
        <f t="shared" si="39"/>
        <v>#VALUE!</v>
      </c>
      <c r="F193" s="30" t="e">
        <f t="shared" si="32"/>
        <v>#VALUE!</v>
      </c>
      <c r="G193" s="49" t="e">
        <f t="shared" si="40"/>
        <v>#VALUE!</v>
      </c>
      <c r="H193" s="30" t="e">
        <f t="shared" si="33"/>
        <v>#VALUE!</v>
      </c>
      <c r="I193" s="30" t="e">
        <f t="shared" si="34"/>
        <v>#VALUE!</v>
      </c>
      <c r="J193" s="30" t="e">
        <f t="shared" si="35"/>
        <v>#VALUE!</v>
      </c>
      <c r="K193" s="33" t="e">
        <f t="shared" si="41"/>
        <v>#VALUE!</v>
      </c>
      <c r="L193" s="33" t="e">
        <f t="shared" si="36"/>
        <v>#VALUE!</v>
      </c>
      <c r="M193" s="33" t="e">
        <f t="shared" si="42"/>
        <v>#VALUE!</v>
      </c>
      <c r="N193" s="33" t="e">
        <f t="shared" si="43"/>
        <v>#VALUE!</v>
      </c>
      <c r="O193" s="33" t="e">
        <f t="shared" si="44"/>
        <v>#VALUE!</v>
      </c>
      <c r="P193" s="33" t="e">
        <f t="shared" si="45"/>
        <v>#VALUE!</v>
      </c>
      <c r="Q193" t="e">
        <f t="shared" si="46"/>
        <v>#VALUE!</v>
      </c>
    </row>
    <row r="194" spans="1:17" x14ac:dyDescent="0.15">
      <c r="A194" s="30">
        <v>12192353</v>
      </c>
      <c r="C194" s="42" t="e">
        <f t="shared" si="37"/>
        <v>#VALUE!</v>
      </c>
      <c r="D194" s="42" t="e">
        <f t="shared" si="38"/>
        <v>#VALUE!</v>
      </c>
      <c r="E194" s="49" t="e">
        <f t="shared" si="39"/>
        <v>#VALUE!</v>
      </c>
      <c r="F194" s="30" t="e">
        <f t="shared" si="32"/>
        <v>#VALUE!</v>
      </c>
      <c r="G194" s="49" t="e">
        <f t="shared" si="40"/>
        <v>#VALUE!</v>
      </c>
      <c r="H194" s="30" t="e">
        <f t="shared" si="33"/>
        <v>#VALUE!</v>
      </c>
      <c r="I194" s="30" t="e">
        <f t="shared" si="34"/>
        <v>#VALUE!</v>
      </c>
      <c r="J194" s="30" t="e">
        <f t="shared" si="35"/>
        <v>#VALUE!</v>
      </c>
      <c r="K194" s="33" t="e">
        <f t="shared" si="41"/>
        <v>#VALUE!</v>
      </c>
      <c r="L194" s="33" t="e">
        <f t="shared" si="36"/>
        <v>#VALUE!</v>
      </c>
      <c r="M194" s="33" t="e">
        <f t="shared" si="42"/>
        <v>#VALUE!</v>
      </c>
      <c r="N194" s="33" t="e">
        <f t="shared" si="43"/>
        <v>#VALUE!</v>
      </c>
      <c r="O194" s="33" t="e">
        <f t="shared" si="44"/>
        <v>#VALUE!</v>
      </c>
      <c r="P194" s="33" t="e">
        <f t="shared" si="45"/>
        <v>#VALUE!</v>
      </c>
      <c r="Q194" t="e">
        <f t="shared" si="46"/>
        <v>#VALUE!</v>
      </c>
    </row>
    <row r="195" spans="1:17" x14ac:dyDescent="0.15">
      <c r="A195" s="30">
        <v>11545795</v>
      </c>
      <c r="C195" s="42" t="e">
        <f t="shared" si="37"/>
        <v>#VALUE!</v>
      </c>
      <c r="D195" s="42" t="e">
        <f t="shared" si="38"/>
        <v>#VALUE!</v>
      </c>
      <c r="E195" s="49" t="e">
        <f t="shared" si="39"/>
        <v>#VALUE!</v>
      </c>
      <c r="F195" s="30" t="e">
        <f t="shared" si="32"/>
        <v>#VALUE!</v>
      </c>
      <c r="G195" s="49" t="e">
        <f t="shared" si="40"/>
        <v>#VALUE!</v>
      </c>
      <c r="H195" s="30" t="e">
        <f t="shared" si="33"/>
        <v>#VALUE!</v>
      </c>
      <c r="I195" s="30" t="e">
        <f t="shared" si="34"/>
        <v>#VALUE!</v>
      </c>
      <c r="J195" s="30" t="e">
        <f t="shared" si="35"/>
        <v>#VALUE!</v>
      </c>
      <c r="K195" s="33" t="e">
        <f t="shared" si="41"/>
        <v>#VALUE!</v>
      </c>
      <c r="L195" s="33" t="e">
        <f t="shared" si="36"/>
        <v>#VALUE!</v>
      </c>
      <c r="M195" s="33" t="e">
        <f t="shared" si="42"/>
        <v>#VALUE!</v>
      </c>
      <c r="N195" s="33" t="e">
        <f t="shared" si="43"/>
        <v>#VALUE!</v>
      </c>
      <c r="O195" s="33" t="e">
        <f t="shared" si="44"/>
        <v>#VALUE!</v>
      </c>
      <c r="P195" s="33" t="e">
        <f t="shared" si="45"/>
        <v>#VALUE!</v>
      </c>
      <c r="Q195" t="e">
        <f t="shared" si="46"/>
        <v>#VALUE!</v>
      </c>
    </row>
    <row r="196" spans="1:17" x14ac:dyDescent="0.15">
      <c r="A196" s="30">
        <v>12614792</v>
      </c>
      <c r="C196" s="42" t="e">
        <f t="shared" si="37"/>
        <v>#VALUE!</v>
      </c>
      <c r="D196" s="42" t="e">
        <f t="shared" si="38"/>
        <v>#VALUE!</v>
      </c>
      <c r="E196" s="49" t="e">
        <f t="shared" si="39"/>
        <v>#VALUE!</v>
      </c>
      <c r="F196" s="30" t="e">
        <f t="shared" ref="F196:F233" si="47">StudentInput(A196,$T$9,$U$9,$V$9,$W$9,$X$9)</f>
        <v>#VALUE!</v>
      </c>
      <c r="G196" s="49" t="e">
        <f t="shared" si="40"/>
        <v>#VALUE!</v>
      </c>
      <c r="H196" s="30" t="e">
        <f t="shared" ref="H196:H233" si="48">StudentInput(A196,$T$11,$U$11,$V$11,$W$11,$X$11)</f>
        <v>#VALUE!</v>
      </c>
      <c r="I196" s="30" t="e">
        <f t="shared" ref="I196:I233" si="49">StudentInput(A196,$T$12,$U$12,$V$12,$W$12,$X$12)</f>
        <v>#VALUE!</v>
      </c>
      <c r="J196" s="30" t="e">
        <f t="shared" ref="J196:J233" si="50">StudentInput(A196,$T$13,$U$13,$V$13,$W$13,$X$13)</f>
        <v>#VALUE!</v>
      </c>
      <c r="K196" s="33" t="e">
        <f t="shared" si="41"/>
        <v>#VALUE!</v>
      </c>
      <c r="L196" s="33" t="e">
        <f t="shared" ref="L196:L233" si="51">(I196*G196*(F196+0.5*G196)+PP*(F196+G196+H196))/(F196+G196)</f>
        <v>#VALUE!</v>
      </c>
      <c r="M196" s="33" t="e">
        <f t="shared" si="42"/>
        <v>#VALUE!</v>
      </c>
      <c r="N196" s="33" t="e">
        <f t="shared" si="43"/>
        <v>#VALUE!</v>
      </c>
      <c r="O196" s="33" t="e">
        <f t="shared" si="44"/>
        <v>#VALUE!</v>
      </c>
      <c r="P196" s="33" t="e">
        <f t="shared" si="45"/>
        <v>#VALUE!</v>
      </c>
      <c r="Q196" t="e">
        <f t="shared" si="46"/>
        <v>#VALUE!</v>
      </c>
    </row>
    <row r="197" spans="1:17" x14ac:dyDescent="0.15">
      <c r="A197" s="30">
        <v>11667449</v>
      </c>
      <c r="C197" s="42" t="e">
        <f t="shared" ref="C197:C233" si="52">E197/F197</f>
        <v>#VALUE!</v>
      </c>
      <c r="D197" s="42" t="e">
        <f t="shared" ref="D197:D233" si="53">G197/F197</f>
        <v>#VALUE!</v>
      </c>
      <c r="E197" s="49" t="e">
        <f t="shared" ref="E197:E233" si="54">ROUND(F197*StudentInput(A197,$T$6,$U$6,$V$6,$W$6,$X$6),1)</f>
        <v>#VALUE!</v>
      </c>
      <c r="F197" s="30" t="e">
        <f t="shared" si="47"/>
        <v>#VALUE!</v>
      </c>
      <c r="G197" s="49" t="e">
        <f t="shared" ref="G197:G233" si="55">ROUND(F197*StudentInput($A197,$T$7,$U$7,$V$7,$W$7,$X$7),1)</f>
        <v>#VALUE!</v>
      </c>
      <c r="H197" s="30" t="e">
        <f t="shared" si="48"/>
        <v>#VALUE!</v>
      </c>
      <c r="I197" s="30" t="e">
        <f t="shared" si="49"/>
        <v>#VALUE!</v>
      </c>
      <c r="J197" s="30" t="e">
        <f t="shared" si="50"/>
        <v>#VALUE!</v>
      </c>
      <c r="K197" s="33" t="e">
        <f t="shared" ref="K197:K233" si="56">(0.5*I197*G197^2-J197*H197)/(E197+F197)</f>
        <v>#VALUE!</v>
      </c>
      <c r="L197" s="33" t="e">
        <f t="shared" si="51"/>
        <v>#VALUE!</v>
      </c>
      <c r="M197" s="33" t="e">
        <f t="shared" ref="M197:M233" si="57">K197*F197/SQRT(F197^2+E197^2)</f>
        <v>#VALUE!</v>
      </c>
      <c r="N197" s="33" t="e">
        <f t="shared" ref="N197:N233" si="58">K197*F197</f>
        <v>#VALUE!</v>
      </c>
      <c r="O197" s="33" t="e">
        <f t="shared" ref="O197:O233" si="59">K197*F197+0.5*K197*K197/I197</f>
        <v>#VALUE!</v>
      </c>
      <c r="P197" s="33" t="e">
        <f t="shared" ref="P197:P233" si="60">K197/I197</f>
        <v>#VALUE!</v>
      </c>
      <c r="Q197" t="e">
        <f t="shared" ref="Q197:Q233" si="61">(P197&lt;F197)</f>
        <v>#VALUE!</v>
      </c>
    </row>
    <row r="198" spans="1:17" x14ac:dyDescent="0.15">
      <c r="A198" s="30">
        <v>11933177</v>
      </c>
      <c r="C198" s="42" t="e">
        <f t="shared" si="52"/>
        <v>#VALUE!</v>
      </c>
      <c r="D198" s="42" t="e">
        <f t="shared" si="53"/>
        <v>#VALUE!</v>
      </c>
      <c r="E198" s="49" t="e">
        <f t="shared" si="54"/>
        <v>#VALUE!</v>
      </c>
      <c r="F198" s="30" t="e">
        <f t="shared" si="47"/>
        <v>#VALUE!</v>
      </c>
      <c r="G198" s="49" t="e">
        <f t="shared" si="55"/>
        <v>#VALUE!</v>
      </c>
      <c r="H198" s="30" t="e">
        <f t="shared" si="48"/>
        <v>#VALUE!</v>
      </c>
      <c r="I198" s="30" t="e">
        <f t="shared" si="49"/>
        <v>#VALUE!</v>
      </c>
      <c r="J198" s="30" t="e">
        <f t="shared" si="50"/>
        <v>#VALUE!</v>
      </c>
      <c r="K198" s="33" t="e">
        <f t="shared" si="56"/>
        <v>#VALUE!</v>
      </c>
      <c r="L198" s="33" t="e">
        <f t="shared" si="51"/>
        <v>#VALUE!</v>
      </c>
      <c r="M198" s="33" t="e">
        <f t="shared" si="57"/>
        <v>#VALUE!</v>
      </c>
      <c r="N198" s="33" t="e">
        <f t="shared" si="58"/>
        <v>#VALUE!</v>
      </c>
      <c r="O198" s="33" t="e">
        <f t="shared" si="59"/>
        <v>#VALUE!</v>
      </c>
      <c r="P198" s="33" t="e">
        <f t="shared" si="60"/>
        <v>#VALUE!</v>
      </c>
      <c r="Q198" t="e">
        <f t="shared" si="61"/>
        <v>#VALUE!</v>
      </c>
    </row>
    <row r="199" spans="1:17" x14ac:dyDescent="0.15">
      <c r="A199" s="30">
        <v>99139014</v>
      </c>
      <c r="C199" s="42" t="e">
        <f t="shared" si="52"/>
        <v>#VALUE!</v>
      </c>
      <c r="D199" s="42" t="e">
        <f t="shared" si="53"/>
        <v>#VALUE!</v>
      </c>
      <c r="E199" s="49" t="e">
        <f t="shared" si="54"/>
        <v>#VALUE!</v>
      </c>
      <c r="F199" s="30" t="e">
        <f t="shared" si="47"/>
        <v>#VALUE!</v>
      </c>
      <c r="G199" s="49" t="e">
        <f t="shared" si="55"/>
        <v>#VALUE!</v>
      </c>
      <c r="H199" s="30" t="e">
        <f t="shared" si="48"/>
        <v>#VALUE!</v>
      </c>
      <c r="I199" s="30" t="e">
        <f t="shared" si="49"/>
        <v>#VALUE!</v>
      </c>
      <c r="J199" s="30" t="e">
        <f t="shared" si="50"/>
        <v>#VALUE!</v>
      </c>
      <c r="K199" s="33" t="e">
        <f t="shared" si="56"/>
        <v>#VALUE!</v>
      </c>
      <c r="L199" s="33" t="e">
        <f t="shared" si="51"/>
        <v>#VALUE!</v>
      </c>
      <c r="M199" s="33" t="e">
        <f t="shared" si="57"/>
        <v>#VALUE!</v>
      </c>
      <c r="N199" s="33" t="e">
        <f t="shared" si="58"/>
        <v>#VALUE!</v>
      </c>
      <c r="O199" s="33" t="e">
        <f t="shared" si="59"/>
        <v>#VALUE!</v>
      </c>
      <c r="P199" s="33" t="e">
        <f t="shared" si="60"/>
        <v>#VALUE!</v>
      </c>
      <c r="Q199" t="e">
        <f t="shared" si="61"/>
        <v>#VALUE!</v>
      </c>
    </row>
    <row r="200" spans="1:17" x14ac:dyDescent="0.15">
      <c r="A200" s="30">
        <v>11039462</v>
      </c>
      <c r="C200" s="42" t="e">
        <f t="shared" si="52"/>
        <v>#VALUE!</v>
      </c>
      <c r="D200" s="42" t="e">
        <f t="shared" si="53"/>
        <v>#VALUE!</v>
      </c>
      <c r="E200" s="49" t="e">
        <f t="shared" si="54"/>
        <v>#VALUE!</v>
      </c>
      <c r="F200" s="30" t="e">
        <f t="shared" si="47"/>
        <v>#VALUE!</v>
      </c>
      <c r="G200" s="49" t="e">
        <f t="shared" si="55"/>
        <v>#VALUE!</v>
      </c>
      <c r="H200" s="30" t="e">
        <f t="shared" si="48"/>
        <v>#VALUE!</v>
      </c>
      <c r="I200" s="30" t="e">
        <f t="shared" si="49"/>
        <v>#VALUE!</v>
      </c>
      <c r="J200" s="30" t="e">
        <f t="shared" si="50"/>
        <v>#VALUE!</v>
      </c>
      <c r="K200" s="33" t="e">
        <f t="shared" si="56"/>
        <v>#VALUE!</v>
      </c>
      <c r="L200" s="33" t="e">
        <f t="shared" si="51"/>
        <v>#VALUE!</v>
      </c>
      <c r="M200" s="33" t="e">
        <f t="shared" si="57"/>
        <v>#VALUE!</v>
      </c>
      <c r="N200" s="33" t="e">
        <f t="shared" si="58"/>
        <v>#VALUE!</v>
      </c>
      <c r="O200" s="33" t="e">
        <f t="shared" si="59"/>
        <v>#VALUE!</v>
      </c>
      <c r="P200" s="33" t="e">
        <f t="shared" si="60"/>
        <v>#VALUE!</v>
      </c>
      <c r="Q200" t="e">
        <f t="shared" si="61"/>
        <v>#VALUE!</v>
      </c>
    </row>
    <row r="201" spans="1:17" x14ac:dyDescent="0.15">
      <c r="A201" s="30">
        <v>11380110</v>
      </c>
      <c r="C201" s="42" t="e">
        <f t="shared" si="52"/>
        <v>#VALUE!</v>
      </c>
      <c r="D201" s="42" t="e">
        <f t="shared" si="53"/>
        <v>#VALUE!</v>
      </c>
      <c r="E201" s="49" t="e">
        <f t="shared" si="54"/>
        <v>#VALUE!</v>
      </c>
      <c r="F201" s="30" t="e">
        <f t="shared" si="47"/>
        <v>#VALUE!</v>
      </c>
      <c r="G201" s="49" t="e">
        <f t="shared" si="55"/>
        <v>#VALUE!</v>
      </c>
      <c r="H201" s="30" t="e">
        <f t="shared" si="48"/>
        <v>#VALUE!</v>
      </c>
      <c r="I201" s="30" t="e">
        <f t="shared" si="49"/>
        <v>#VALUE!</v>
      </c>
      <c r="J201" s="30" t="e">
        <f t="shared" si="50"/>
        <v>#VALUE!</v>
      </c>
      <c r="K201" s="33" t="e">
        <f t="shared" si="56"/>
        <v>#VALUE!</v>
      </c>
      <c r="L201" s="33" t="e">
        <f t="shared" si="51"/>
        <v>#VALUE!</v>
      </c>
      <c r="M201" s="33" t="e">
        <f t="shared" si="57"/>
        <v>#VALUE!</v>
      </c>
      <c r="N201" s="33" t="e">
        <f t="shared" si="58"/>
        <v>#VALUE!</v>
      </c>
      <c r="O201" s="33" t="e">
        <f t="shared" si="59"/>
        <v>#VALUE!</v>
      </c>
      <c r="P201" s="33" t="e">
        <f t="shared" si="60"/>
        <v>#VALUE!</v>
      </c>
      <c r="Q201" t="e">
        <f t="shared" si="61"/>
        <v>#VALUE!</v>
      </c>
    </row>
    <row r="202" spans="1:17" x14ac:dyDescent="0.15">
      <c r="A202" s="30">
        <v>11723804</v>
      </c>
      <c r="C202" s="42" t="e">
        <f t="shared" si="52"/>
        <v>#VALUE!</v>
      </c>
      <c r="D202" s="42" t="e">
        <f t="shared" si="53"/>
        <v>#VALUE!</v>
      </c>
      <c r="E202" s="49" t="e">
        <f t="shared" si="54"/>
        <v>#VALUE!</v>
      </c>
      <c r="F202" s="30" t="e">
        <f t="shared" si="47"/>
        <v>#VALUE!</v>
      </c>
      <c r="G202" s="49" t="e">
        <f t="shared" si="55"/>
        <v>#VALUE!</v>
      </c>
      <c r="H202" s="30" t="e">
        <f t="shared" si="48"/>
        <v>#VALUE!</v>
      </c>
      <c r="I202" s="30" t="e">
        <f t="shared" si="49"/>
        <v>#VALUE!</v>
      </c>
      <c r="J202" s="30" t="e">
        <f t="shared" si="50"/>
        <v>#VALUE!</v>
      </c>
      <c r="K202" s="33" t="e">
        <f t="shared" si="56"/>
        <v>#VALUE!</v>
      </c>
      <c r="L202" s="33" t="e">
        <f t="shared" si="51"/>
        <v>#VALUE!</v>
      </c>
      <c r="M202" s="33" t="e">
        <f t="shared" si="57"/>
        <v>#VALUE!</v>
      </c>
      <c r="N202" s="33" t="e">
        <f t="shared" si="58"/>
        <v>#VALUE!</v>
      </c>
      <c r="O202" s="33" t="e">
        <f t="shared" si="59"/>
        <v>#VALUE!</v>
      </c>
      <c r="P202" s="33" t="e">
        <f t="shared" si="60"/>
        <v>#VALUE!</v>
      </c>
      <c r="Q202" t="e">
        <f t="shared" si="61"/>
        <v>#VALUE!</v>
      </c>
    </row>
    <row r="203" spans="1:17" x14ac:dyDescent="0.15">
      <c r="A203" s="30">
        <v>11720137</v>
      </c>
      <c r="C203" s="42" t="e">
        <f t="shared" si="52"/>
        <v>#VALUE!</v>
      </c>
      <c r="D203" s="42" t="e">
        <f t="shared" si="53"/>
        <v>#VALUE!</v>
      </c>
      <c r="E203" s="49" t="e">
        <f t="shared" si="54"/>
        <v>#VALUE!</v>
      </c>
      <c r="F203" s="30" t="e">
        <f t="shared" si="47"/>
        <v>#VALUE!</v>
      </c>
      <c r="G203" s="49" t="e">
        <f t="shared" si="55"/>
        <v>#VALUE!</v>
      </c>
      <c r="H203" s="30" t="e">
        <f t="shared" si="48"/>
        <v>#VALUE!</v>
      </c>
      <c r="I203" s="30" t="e">
        <f t="shared" si="49"/>
        <v>#VALUE!</v>
      </c>
      <c r="J203" s="30" t="e">
        <f t="shared" si="50"/>
        <v>#VALUE!</v>
      </c>
      <c r="K203" s="33" t="e">
        <f t="shared" si="56"/>
        <v>#VALUE!</v>
      </c>
      <c r="L203" s="33" t="e">
        <f t="shared" si="51"/>
        <v>#VALUE!</v>
      </c>
      <c r="M203" s="33" t="e">
        <f t="shared" si="57"/>
        <v>#VALUE!</v>
      </c>
      <c r="N203" s="33" t="e">
        <f t="shared" si="58"/>
        <v>#VALUE!</v>
      </c>
      <c r="O203" s="33" t="e">
        <f t="shared" si="59"/>
        <v>#VALUE!</v>
      </c>
      <c r="P203" s="33" t="e">
        <f t="shared" si="60"/>
        <v>#VALUE!</v>
      </c>
      <c r="Q203" t="e">
        <f t="shared" si="61"/>
        <v>#VALUE!</v>
      </c>
    </row>
    <row r="204" spans="1:17" x14ac:dyDescent="0.15">
      <c r="A204" s="30">
        <v>11980087</v>
      </c>
      <c r="C204" s="42" t="e">
        <f t="shared" si="52"/>
        <v>#VALUE!</v>
      </c>
      <c r="D204" s="42" t="e">
        <f t="shared" si="53"/>
        <v>#VALUE!</v>
      </c>
      <c r="E204" s="49" t="e">
        <f t="shared" si="54"/>
        <v>#VALUE!</v>
      </c>
      <c r="F204" s="30" t="e">
        <f t="shared" si="47"/>
        <v>#VALUE!</v>
      </c>
      <c r="G204" s="49" t="e">
        <f t="shared" si="55"/>
        <v>#VALUE!</v>
      </c>
      <c r="H204" s="30" t="e">
        <f t="shared" si="48"/>
        <v>#VALUE!</v>
      </c>
      <c r="I204" s="30" t="e">
        <f t="shared" si="49"/>
        <v>#VALUE!</v>
      </c>
      <c r="J204" s="30" t="e">
        <f t="shared" si="50"/>
        <v>#VALUE!</v>
      </c>
      <c r="K204" s="33" t="e">
        <f t="shared" si="56"/>
        <v>#VALUE!</v>
      </c>
      <c r="L204" s="33" t="e">
        <f t="shared" si="51"/>
        <v>#VALUE!</v>
      </c>
      <c r="M204" s="33" t="e">
        <f t="shared" si="57"/>
        <v>#VALUE!</v>
      </c>
      <c r="N204" s="33" t="e">
        <f t="shared" si="58"/>
        <v>#VALUE!</v>
      </c>
      <c r="O204" s="33" t="e">
        <f t="shared" si="59"/>
        <v>#VALUE!</v>
      </c>
      <c r="P204" s="33" t="e">
        <f t="shared" si="60"/>
        <v>#VALUE!</v>
      </c>
      <c r="Q204" t="e">
        <f t="shared" si="61"/>
        <v>#VALUE!</v>
      </c>
    </row>
    <row r="205" spans="1:17" x14ac:dyDescent="0.15">
      <c r="A205" s="30">
        <v>12031050</v>
      </c>
      <c r="C205" s="42" t="e">
        <f t="shared" si="52"/>
        <v>#VALUE!</v>
      </c>
      <c r="D205" s="42" t="e">
        <f t="shared" si="53"/>
        <v>#VALUE!</v>
      </c>
      <c r="E205" s="49" t="e">
        <f t="shared" si="54"/>
        <v>#VALUE!</v>
      </c>
      <c r="F205" s="30" t="e">
        <f t="shared" si="47"/>
        <v>#VALUE!</v>
      </c>
      <c r="G205" s="49" t="e">
        <f t="shared" si="55"/>
        <v>#VALUE!</v>
      </c>
      <c r="H205" s="30" t="e">
        <f t="shared" si="48"/>
        <v>#VALUE!</v>
      </c>
      <c r="I205" s="30" t="e">
        <f t="shared" si="49"/>
        <v>#VALUE!</v>
      </c>
      <c r="J205" s="30" t="e">
        <f t="shared" si="50"/>
        <v>#VALUE!</v>
      </c>
      <c r="K205" s="33" t="e">
        <f t="shared" si="56"/>
        <v>#VALUE!</v>
      </c>
      <c r="L205" s="33" t="e">
        <f t="shared" si="51"/>
        <v>#VALUE!</v>
      </c>
      <c r="M205" s="33" t="e">
        <f t="shared" si="57"/>
        <v>#VALUE!</v>
      </c>
      <c r="N205" s="33" t="e">
        <f t="shared" si="58"/>
        <v>#VALUE!</v>
      </c>
      <c r="O205" s="33" t="e">
        <f t="shared" si="59"/>
        <v>#VALUE!</v>
      </c>
      <c r="P205" s="33" t="e">
        <f t="shared" si="60"/>
        <v>#VALUE!</v>
      </c>
      <c r="Q205" t="e">
        <f t="shared" si="61"/>
        <v>#VALUE!</v>
      </c>
    </row>
    <row r="206" spans="1:17" x14ac:dyDescent="0.15">
      <c r="A206" s="30">
        <v>11910698</v>
      </c>
      <c r="C206" s="42" t="e">
        <f t="shared" si="52"/>
        <v>#VALUE!</v>
      </c>
      <c r="D206" s="42" t="e">
        <f t="shared" si="53"/>
        <v>#VALUE!</v>
      </c>
      <c r="E206" s="49" t="e">
        <f t="shared" si="54"/>
        <v>#VALUE!</v>
      </c>
      <c r="F206" s="30" t="e">
        <f t="shared" si="47"/>
        <v>#VALUE!</v>
      </c>
      <c r="G206" s="49" t="e">
        <f t="shared" si="55"/>
        <v>#VALUE!</v>
      </c>
      <c r="H206" s="30" t="e">
        <f t="shared" si="48"/>
        <v>#VALUE!</v>
      </c>
      <c r="I206" s="30" t="e">
        <f t="shared" si="49"/>
        <v>#VALUE!</v>
      </c>
      <c r="J206" s="30" t="e">
        <f t="shared" si="50"/>
        <v>#VALUE!</v>
      </c>
      <c r="K206" s="33" t="e">
        <f t="shared" si="56"/>
        <v>#VALUE!</v>
      </c>
      <c r="L206" s="33" t="e">
        <f t="shared" si="51"/>
        <v>#VALUE!</v>
      </c>
      <c r="M206" s="33" t="e">
        <f t="shared" si="57"/>
        <v>#VALUE!</v>
      </c>
      <c r="N206" s="33" t="e">
        <f t="shared" si="58"/>
        <v>#VALUE!</v>
      </c>
      <c r="O206" s="33" t="e">
        <f t="shared" si="59"/>
        <v>#VALUE!</v>
      </c>
      <c r="P206" s="33" t="e">
        <f t="shared" si="60"/>
        <v>#VALUE!</v>
      </c>
      <c r="Q206" t="e">
        <f t="shared" si="61"/>
        <v>#VALUE!</v>
      </c>
    </row>
    <row r="207" spans="1:17" x14ac:dyDescent="0.15">
      <c r="A207" s="30">
        <v>97108740</v>
      </c>
      <c r="C207" s="42" t="e">
        <f t="shared" si="52"/>
        <v>#VALUE!</v>
      </c>
      <c r="D207" s="42" t="e">
        <f t="shared" si="53"/>
        <v>#VALUE!</v>
      </c>
      <c r="E207" s="49" t="e">
        <f t="shared" si="54"/>
        <v>#VALUE!</v>
      </c>
      <c r="F207" s="30" t="e">
        <f t="shared" si="47"/>
        <v>#VALUE!</v>
      </c>
      <c r="G207" s="49" t="e">
        <f t="shared" si="55"/>
        <v>#VALUE!</v>
      </c>
      <c r="H207" s="30" t="e">
        <f t="shared" si="48"/>
        <v>#VALUE!</v>
      </c>
      <c r="I207" s="30" t="e">
        <f t="shared" si="49"/>
        <v>#VALUE!</v>
      </c>
      <c r="J207" s="30" t="e">
        <f t="shared" si="50"/>
        <v>#VALUE!</v>
      </c>
      <c r="K207" s="33" t="e">
        <f t="shared" si="56"/>
        <v>#VALUE!</v>
      </c>
      <c r="L207" s="33" t="e">
        <f t="shared" si="51"/>
        <v>#VALUE!</v>
      </c>
      <c r="M207" s="33" t="e">
        <f t="shared" si="57"/>
        <v>#VALUE!</v>
      </c>
      <c r="N207" s="33" t="e">
        <f t="shared" si="58"/>
        <v>#VALUE!</v>
      </c>
      <c r="O207" s="33" t="e">
        <f t="shared" si="59"/>
        <v>#VALUE!</v>
      </c>
      <c r="P207" s="33" t="e">
        <f t="shared" si="60"/>
        <v>#VALUE!</v>
      </c>
      <c r="Q207" t="e">
        <f t="shared" si="61"/>
        <v>#VALUE!</v>
      </c>
    </row>
    <row r="208" spans="1:17" x14ac:dyDescent="0.15">
      <c r="A208" s="30">
        <v>12968145</v>
      </c>
      <c r="C208" s="42" t="e">
        <f t="shared" si="52"/>
        <v>#VALUE!</v>
      </c>
      <c r="D208" s="42" t="e">
        <f t="shared" si="53"/>
        <v>#VALUE!</v>
      </c>
      <c r="E208" s="49" t="e">
        <f t="shared" si="54"/>
        <v>#VALUE!</v>
      </c>
      <c r="F208" s="30" t="e">
        <f t="shared" si="47"/>
        <v>#VALUE!</v>
      </c>
      <c r="G208" s="49" t="e">
        <f t="shared" si="55"/>
        <v>#VALUE!</v>
      </c>
      <c r="H208" s="30" t="e">
        <f t="shared" si="48"/>
        <v>#VALUE!</v>
      </c>
      <c r="I208" s="30" t="e">
        <f t="shared" si="49"/>
        <v>#VALUE!</v>
      </c>
      <c r="J208" s="30" t="e">
        <f t="shared" si="50"/>
        <v>#VALUE!</v>
      </c>
      <c r="K208" s="33" t="e">
        <f t="shared" si="56"/>
        <v>#VALUE!</v>
      </c>
      <c r="L208" s="33" t="e">
        <f t="shared" si="51"/>
        <v>#VALUE!</v>
      </c>
      <c r="M208" s="33" t="e">
        <f t="shared" si="57"/>
        <v>#VALUE!</v>
      </c>
      <c r="N208" s="33" t="e">
        <f t="shared" si="58"/>
        <v>#VALUE!</v>
      </c>
      <c r="O208" s="33" t="e">
        <f t="shared" si="59"/>
        <v>#VALUE!</v>
      </c>
      <c r="P208" s="33" t="e">
        <f t="shared" si="60"/>
        <v>#VALUE!</v>
      </c>
      <c r="Q208" t="e">
        <f t="shared" si="61"/>
        <v>#VALUE!</v>
      </c>
    </row>
    <row r="209" spans="1:17" x14ac:dyDescent="0.15">
      <c r="A209" s="30">
        <v>12003339</v>
      </c>
      <c r="C209" s="42" t="e">
        <f t="shared" si="52"/>
        <v>#VALUE!</v>
      </c>
      <c r="D209" s="42" t="e">
        <f t="shared" si="53"/>
        <v>#VALUE!</v>
      </c>
      <c r="E209" s="49" t="e">
        <f t="shared" si="54"/>
        <v>#VALUE!</v>
      </c>
      <c r="F209" s="30" t="e">
        <f t="shared" si="47"/>
        <v>#VALUE!</v>
      </c>
      <c r="G209" s="49" t="e">
        <f t="shared" si="55"/>
        <v>#VALUE!</v>
      </c>
      <c r="H209" s="30" t="e">
        <f t="shared" si="48"/>
        <v>#VALUE!</v>
      </c>
      <c r="I209" s="30" t="e">
        <f t="shared" si="49"/>
        <v>#VALUE!</v>
      </c>
      <c r="J209" s="30" t="e">
        <f t="shared" si="50"/>
        <v>#VALUE!</v>
      </c>
      <c r="K209" s="33" t="e">
        <f t="shared" si="56"/>
        <v>#VALUE!</v>
      </c>
      <c r="L209" s="33" t="e">
        <f t="shared" si="51"/>
        <v>#VALUE!</v>
      </c>
      <c r="M209" s="33" t="e">
        <f t="shared" si="57"/>
        <v>#VALUE!</v>
      </c>
      <c r="N209" s="33" t="e">
        <f t="shared" si="58"/>
        <v>#VALUE!</v>
      </c>
      <c r="O209" s="33" t="e">
        <f t="shared" si="59"/>
        <v>#VALUE!</v>
      </c>
      <c r="P209" s="33" t="e">
        <f t="shared" si="60"/>
        <v>#VALUE!</v>
      </c>
      <c r="Q209" t="e">
        <f t="shared" si="61"/>
        <v>#VALUE!</v>
      </c>
    </row>
    <row r="210" spans="1:17" x14ac:dyDescent="0.15">
      <c r="A210" s="30">
        <v>11442492</v>
      </c>
      <c r="C210" s="42" t="e">
        <f t="shared" si="52"/>
        <v>#VALUE!</v>
      </c>
      <c r="D210" s="42" t="e">
        <f t="shared" si="53"/>
        <v>#VALUE!</v>
      </c>
      <c r="E210" s="49" t="e">
        <f t="shared" si="54"/>
        <v>#VALUE!</v>
      </c>
      <c r="F210" s="30" t="e">
        <f t="shared" si="47"/>
        <v>#VALUE!</v>
      </c>
      <c r="G210" s="49" t="e">
        <f t="shared" si="55"/>
        <v>#VALUE!</v>
      </c>
      <c r="H210" s="30" t="e">
        <f t="shared" si="48"/>
        <v>#VALUE!</v>
      </c>
      <c r="I210" s="30" t="e">
        <f t="shared" si="49"/>
        <v>#VALUE!</v>
      </c>
      <c r="J210" s="30" t="e">
        <f t="shared" si="50"/>
        <v>#VALUE!</v>
      </c>
      <c r="K210" s="33" t="e">
        <f t="shared" si="56"/>
        <v>#VALUE!</v>
      </c>
      <c r="L210" s="33" t="e">
        <f t="shared" si="51"/>
        <v>#VALUE!</v>
      </c>
      <c r="M210" s="33" t="e">
        <f t="shared" si="57"/>
        <v>#VALUE!</v>
      </c>
      <c r="N210" s="33" t="e">
        <f t="shared" si="58"/>
        <v>#VALUE!</v>
      </c>
      <c r="O210" s="33" t="e">
        <f t="shared" si="59"/>
        <v>#VALUE!</v>
      </c>
      <c r="P210" s="33" t="e">
        <f t="shared" si="60"/>
        <v>#VALUE!</v>
      </c>
      <c r="Q210" t="e">
        <f t="shared" si="61"/>
        <v>#VALUE!</v>
      </c>
    </row>
    <row r="211" spans="1:17" x14ac:dyDescent="0.15">
      <c r="A211" s="30">
        <v>12204893</v>
      </c>
      <c r="C211" s="42" t="e">
        <f t="shared" si="52"/>
        <v>#VALUE!</v>
      </c>
      <c r="D211" s="42" t="e">
        <f t="shared" si="53"/>
        <v>#VALUE!</v>
      </c>
      <c r="E211" s="49" t="e">
        <f t="shared" si="54"/>
        <v>#VALUE!</v>
      </c>
      <c r="F211" s="30" t="e">
        <f t="shared" si="47"/>
        <v>#VALUE!</v>
      </c>
      <c r="G211" s="49" t="e">
        <f t="shared" si="55"/>
        <v>#VALUE!</v>
      </c>
      <c r="H211" s="30" t="e">
        <f t="shared" si="48"/>
        <v>#VALUE!</v>
      </c>
      <c r="I211" s="30" t="e">
        <f t="shared" si="49"/>
        <v>#VALUE!</v>
      </c>
      <c r="J211" s="30" t="e">
        <f t="shared" si="50"/>
        <v>#VALUE!</v>
      </c>
      <c r="K211" s="33" t="e">
        <f t="shared" si="56"/>
        <v>#VALUE!</v>
      </c>
      <c r="L211" s="33" t="e">
        <f t="shared" si="51"/>
        <v>#VALUE!</v>
      </c>
      <c r="M211" s="33" t="e">
        <f t="shared" si="57"/>
        <v>#VALUE!</v>
      </c>
      <c r="N211" s="33" t="e">
        <f t="shared" si="58"/>
        <v>#VALUE!</v>
      </c>
      <c r="O211" s="33" t="e">
        <f t="shared" si="59"/>
        <v>#VALUE!</v>
      </c>
      <c r="P211" s="33" t="e">
        <f t="shared" si="60"/>
        <v>#VALUE!</v>
      </c>
      <c r="Q211" t="e">
        <f t="shared" si="61"/>
        <v>#VALUE!</v>
      </c>
    </row>
    <row r="212" spans="1:17" x14ac:dyDescent="0.15">
      <c r="A212" s="30">
        <v>11211341</v>
      </c>
      <c r="C212" s="42" t="e">
        <f t="shared" si="52"/>
        <v>#VALUE!</v>
      </c>
      <c r="D212" s="42" t="e">
        <f t="shared" si="53"/>
        <v>#VALUE!</v>
      </c>
      <c r="E212" s="49" t="e">
        <f t="shared" si="54"/>
        <v>#VALUE!</v>
      </c>
      <c r="F212" s="30" t="e">
        <f t="shared" si="47"/>
        <v>#VALUE!</v>
      </c>
      <c r="G212" s="49" t="e">
        <f t="shared" si="55"/>
        <v>#VALUE!</v>
      </c>
      <c r="H212" s="30" t="e">
        <f t="shared" si="48"/>
        <v>#VALUE!</v>
      </c>
      <c r="I212" s="30" t="e">
        <f t="shared" si="49"/>
        <v>#VALUE!</v>
      </c>
      <c r="J212" s="30" t="e">
        <f t="shared" si="50"/>
        <v>#VALUE!</v>
      </c>
      <c r="K212" s="33" t="e">
        <f t="shared" si="56"/>
        <v>#VALUE!</v>
      </c>
      <c r="L212" s="33" t="e">
        <f t="shared" si="51"/>
        <v>#VALUE!</v>
      </c>
      <c r="M212" s="33" t="e">
        <f t="shared" si="57"/>
        <v>#VALUE!</v>
      </c>
      <c r="N212" s="33" t="e">
        <f t="shared" si="58"/>
        <v>#VALUE!</v>
      </c>
      <c r="O212" s="33" t="e">
        <f t="shared" si="59"/>
        <v>#VALUE!</v>
      </c>
      <c r="P212" s="33" t="e">
        <f t="shared" si="60"/>
        <v>#VALUE!</v>
      </c>
      <c r="Q212" t="e">
        <f t="shared" si="61"/>
        <v>#VALUE!</v>
      </c>
    </row>
    <row r="213" spans="1:17" x14ac:dyDescent="0.15">
      <c r="A213" s="30">
        <v>12597454</v>
      </c>
      <c r="C213" s="42" t="e">
        <f t="shared" si="52"/>
        <v>#VALUE!</v>
      </c>
      <c r="D213" s="42" t="e">
        <f t="shared" si="53"/>
        <v>#VALUE!</v>
      </c>
      <c r="E213" s="49" t="e">
        <f t="shared" si="54"/>
        <v>#VALUE!</v>
      </c>
      <c r="F213" s="30" t="e">
        <f t="shared" si="47"/>
        <v>#VALUE!</v>
      </c>
      <c r="G213" s="49" t="e">
        <f t="shared" si="55"/>
        <v>#VALUE!</v>
      </c>
      <c r="H213" s="30" t="e">
        <f t="shared" si="48"/>
        <v>#VALUE!</v>
      </c>
      <c r="I213" s="30" t="e">
        <f t="shared" si="49"/>
        <v>#VALUE!</v>
      </c>
      <c r="J213" s="30" t="e">
        <f t="shared" si="50"/>
        <v>#VALUE!</v>
      </c>
      <c r="K213" s="33" t="e">
        <f t="shared" si="56"/>
        <v>#VALUE!</v>
      </c>
      <c r="L213" s="33" t="e">
        <f t="shared" si="51"/>
        <v>#VALUE!</v>
      </c>
      <c r="M213" s="33" t="e">
        <f t="shared" si="57"/>
        <v>#VALUE!</v>
      </c>
      <c r="N213" s="33" t="e">
        <f t="shared" si="58"/>
        <v>#VALUE!</v>
      </c>
      <c r="O213" s="33" t="e">
        <f t="shared" si="59"/>
        <v>#VALUE!</v>
      </c>
      <c r="P213" s="33" t="e">
        <f t="shared" si="60"/>
        <v>#VALUE!</v>
      </c>
      <c r="Q213" t="e">
        <f t="shared" si="61"/>
        <v>#VALUE!</v>
      </c>
    </row>
    <row r="214" spans="1:17" x14ac:dyDescent="0.15">
      <c r="A214" s="30">
        <v>98131170</v>
      </c>
      <c r="C214" s="42" t="e">
        <f t="shared" si="52"/>
        <v>#VALUE!</v>
      </c>
      <c r="D214" s="42" t="e">
        <f t="shared" si="53"/>
        <v>#VALUE!</v>
      </c>
      <c r="E214" s="49" t="e">
        <f t="shared" si="54"/>
        <v>#VALUE!</v>
      </c>
      <c r="F214" s="30" t="e">
        <f t="shared" si="47"/>
        <v>#VALUE!</v>
      </c>
      <c r="G214" s="49" t="e">
        <f t="shared" si="55"/>
        <v>#VALUE!</v>
      </c>
      <c r="H214" s="30" t="e">
        <f t="shared" si="48"/>
        <v>#VALUE!</v>
      </c>
      <c r="I214" s="30" t="e">
        <f t="shared" si="49"/>
        <v>#VALUE!</v>
      </c>
      <c r="J214" s="30" t="e">
        <f t="shared" si="50"/>
        <v>#VALUE!</v>
      </c>
      <c r="K214" s="33" t="e">
        <f t="shared" si="56"/>
        <v>#VALUE!</v>
      </c>
      <c r="L214" s="33" t="e">
        <f t="shared" si="51"/>
        <v>#VALUE!</v>
      </c>
      <c r="M214" s="33" t="e">
        <f t="shared" si="57"/>
        <v>#VALUE!</v>
      </c>
      <c r="N214" s="33" t="e">
        <f t="shared" si="58"/>
        <v>#VALUE!</v>
      </c>
      <c r="O214" s="33" t="e">
        <f t="shared" si="59"/>
        <v>#VALUE!</v>
      </c>
      <c r="P214" s="33" t="e">
        <f t="shared" si="60"/>
        <v>#VALUE!</v>
      </c>
      <c r="Q214" t="e">
        <f t="shared" si="61"/>
        <v>#VALUE!</v>
      </c>
    </row>
    <row r="215" spans="1:17" x14ac:dyDescent="0.15">
      <c r="A215" s="30">
        <v>11885389</v>
      </c>
      <c r="C215" s="42" t="e">
        <f t="shared" si="52"/>
        <v>#VALUE!</v>
      </c>
      <c r="D215" s="42" t="e">
        <f t="shared" si="53"/>
        <v>#VALUE!</v>
      </c>
      <c r="E215" s="49" t="e">
        <f t="shared" si="54"/>
        <v>#VALUE!</v>
      </c>
      <c r="F215" s="30" t="e">
        <f t="shared" si="47"/>
        <v>#VALUE!</v>
      </c>
      <c r="G215" s="49" t="e">
        <f t="shared" si="55"/>
        <v>#VALUE!</v>
      </c>
      <c r="H215" s="30" t="e">
        <f t="shared" si="48"/>
        <v>#VALUE!</v>
      </c>
      <c r="I215" s="30" t="e">
        <f t="shared" si="49"/>
        <v>#VALUE!</v>
      </c>
      <c r="J215" s="30" t="e">
        <f t="shared" si="50"/>
        <v>#VALUE!</v>
      </c>
      <c r="K215" s="33" t="e">
        <f t="shared" si="56"/>
        <v>#VALUE!</v>
      </c>
      <c r="L215" s="33" t="e">
        <f t="shared" si="51"/>
        <v>#VALUE!</v>
      </c>
      <c r="M215" s="33" t="e">
        <f t="shared" si="57"/>
        <v>#VALUE!</v>
      </c>
      <c r="N215" s="33" t="e">
        <f t="shared" si="58"/>
        <v>#VALUE!</v>
      </c>
      <c r="O215" s="33" t="e">
        <f t="shared" si="59"/>
        <v>#VALUE!</v>
      </c>
      <c r="P215" s="33" t="e">
        <f t="shared" si="60"/>
        <v>#VALUE!</v>
      </c>
      <c r="Q215" t="e">
        <f t="shared" si="61"/>
        <v>#VALUE!</v>
      </c>
    </row>
    <row r="216" spans="1:17" x14ac:dyDescent="0.15">
      <c r="A216" s="30">
        <v>11194952</v>
      </c>
      <c r="C216" s="42" t="e">
        <f t="shared" si="52"/>
        <v>#VALUE!</v>
      </c>
      <c r="D216" s="42" t="e">
        <f t="shared" si="53"/>
        <v>#VALUE!</v>
      </c>
      <c r="E216" s="49" t="e">
        <f t="shared" si="54"/>
        <v>#VALUE!</v>
      </c>
      <c r="F216" s="30" t="e">
        <f t="shared" si="47"/>
        <v>#VALUE!</v>
      </c>
      <c r="G216" s="49" t="e">
        <f t="shared" si="55"/>
        <v>#VALUE!</v>
      </c>
      <c r="H216" s="30" t="e">
        <f t="shared" si="48"/>
        <v>#VALUE!</v>
      </c>
      <c r="I216" s="30" t="e">
        <f t="shared" si="49"/>
        <v>#VALUE!</v>
      </c>
      <c r="J216" s="30" t="e">
        <f t="shared" si="50"/>
        <v>#VALUE!</v>
      </c>
      <c r="K216" s="33" t="e">
        <f t="shared" si="56"/>
        <v>#VALUE!</v>
      </c>
      <c r="L216" s="33" t="e">
        <f t="shared" si="51"/>
        <v>#VALUE!</v>
      </c>
      <c r="M216" s="33" t="e">
        <f t="shared" si="57"/>
        <v>#VALUE!</v>
      </c>
      <c r="N216" s="33" t="e">
        <f t="shared" si="58"/>
        <v>#VALUE!</v>
      </c>
      <c r="O216" s="33" t="e">
        <f t="shared" si="59"/>
        <v>#VALUE!</v>
      </c>
      <c r="P216" s="33" t="e">
        <f t="shared" si="60"/>
        <v>#VALUE!</v>
      </c>
      <c r="Q216" t="e">
        <f t="shared" si="61"/>
        <v>#VALUE!</v>
      </c>
    </row>
    <row r="217" spans="1:17" x14ac:dyDescent="0.15">
      <c r="A217" s="30">
        <v>12484984</v>
      </c>
      <c r="C217" s="42" t="e">
        <f t="shared" si="52"/>
        <v>#VALUE!</v>
      </c>
      <c r="D217" s="42" t="e">
        <f t="shared" si="53"/>
        <v>#VALUE!</v>
      </c>
      <c r="E217" s="49" t="e">
        <f t="shared" si="54"/>
        <v>#VALUE!</v>
      </c>
      <c r="F217" s="30" t="e">
        <f t="shared" si="47"/>
        <v>#VALUE!</v>
      </c>
      <c r="G217" s="49" t="e">
        <f t="shared" si="55"/>
        <v>#VALUE!</v>
      </c>
      <c r="H217" s="30" t="e">
        <f t="shared" si="48"/>
        <v>#VALUE!</v>
      </c>
      <c r="I217" s="30" t="e">
        <f t="shared" si="49"/>
        <v>#VALUE!</v>
      </c>
      <c r="J217" s="30" t="e">
        <f t="shared" si="50"/>
        <v>#VALUE!</v>
      </c>
      <c r="K217" s="33" t="e">
        <f t="shared" si="56"/>
        <v>#VALUE!</v>
      </c>
      <c r="L217" s="33" t="e">
        <f t="shared" si="51"/>
        <v>#VALUE!</v>
      </c>
      <c r="M217" s="33" t="e">
        <f t="shared" si="57"/>
        <v>#VALUE!</v>
      </c>
      <c r="N217" s="33" t="e">
        <f t="shared" si="58"/>
        <v>#VALUE!</v>
      </c>
      <c r="O217" s="33" t="e">
        <f t="shared" si="59"/>
        <v>#VALUE!</v>
      </c>
      <c r="P217" s="33" t="e">
        <f t="shared" si="60"/>
        <v>#VALUE!</v>
      </c>
      <c r="Q217" t="e">
        <f t="shared" si="61"/>
        <v>#VALUE!</v>
      </c>
    </row>
    <row r="218" spans="1:17" x14ac:dyDescent="0.15">
      <c r="A218" s="30">
        <v>98034945</v>
      </c>
      <c r="C218" s="42" t="e">
        <f t="shared" si="52"/>
        <v>#VALUE!</v>
      </c>
      <c r="D218" s="42" t="e">
        <f t="shared" si="53"/>
        <v>#VALUE!</v>
      </c>
      <c r="E218" s="49" t="e">
        <f t="shared" si="54"/>
        <v>#VALUE!</v>
      </c>
      <c r="F218" s="30" t="e">
        <f t="shared" si="47"/>
        <v>#VALUE!</v>
      </c>
      <c r="G218" s="49" t="e">
        <f t="shared" si="55"/>
        <v>#VALUE!</v>
      </c>
      <c r="H218" s="30" t="e">
        <f t="shared" si="48"/>
        <v>#VALUE!</v>
      </c>
      <c r="I218" s="30" t="e">
        <f t="shared" si="49"/>
        <v>#VALUE!</v>
      </c>
      <c r="J218" s="30" t="e">
        <f t="shared" si="50"/>
        <v>#VALUE!</v>
      </c>
      <c r="K218" s="33" t="e">
        <f t="shared" si="56"/>
        <v>#VALUE!</v>
      </c>
      <c r="L218" s="33" t="e">
        <f t="shared" si="51"/>
        <v>#VALUE!</v>
      </c>
      <c r="M218" s="33" t="e">
        <f t="shared" si="57"/>
        <v>#VALUE!</v>
      </c>
      <c r="N218" s="33" t="e">
        <f t="shared" si="58"/>
        <v>#VALUE!</v>
      </c>
      <c r="O218" s="33" t="e">
        <f t="shared" si="59"/>
        <v>#VALUE!</v>
      </c>
      <c r="P218" s="33" t="e">
        <f t="shared" si="60"/>
        <v>#VALUE!</v>
      </c>
      <c r="Q218" t="e">
        <f t="shared" si="61"/>
        <v>#VALUE!</v>
      </c>
    </row>
    <row r="219" spans="1:17" x14ac:dyDescent="0.15">
      <c r="A219" s="30">
        <v>97103636</v>
      </c>
      <c r="C219" s="42" t="e">
        <f t="shared" si="52"/>
        <v>#VALUE!</v>
      </c>
      <c r="D219" s="42" t="e">
        <f t="shared" si="53"/>
        <v>#VALUE!</v>
      </c>
      <c r="E219" s="49" t="e">
        <f t="shared" si="54"/>
        <v>#VALUE!</v>
      </c>
      <c r="F219" s="30" t="e">
        <f t="shared" si="47"/>
        <v>#VALUE!</v>
      </c>
      <c r="G219" s="49" t="e">
        <f t="shared" si="55"/>
        <v>#VALUE!</v>
      </c>
      <c r="H219" s="30" t="e">
        <f t="shared" si="48"/>
        <v>#VALUE!</v>
      </c>
      <c r="I219" s="30" t="e">
        <f t="shared" si="49"/>
        <v>#VALUE!</v>
      </c>
      <c r="J219" s="30" t="e">
        <f t="shared" si="50"/>
        <v>#VALUE!</v>
      </c>
      <c r="K219" s="33" t="e">
        <f t="shared" si="56"/>
        <v>#VALUE!</v>
      </c>
      <c r="L219" s="33" t="e">
        <f t="shared" si="51"/>
        <v>#VALUE!</v>
      </c>
      <c r="M219" s="33" t="e">
        <f t="shared" si="57"/>
        <v>#VALUE!</v>
      </c>
      <c r="N219" s="33" t="e">
        <f t="shared" si="58"/>
        <v>#VALUE!</v>
      </c>
      <c r="O219" s="33" t="e">
        <f t="shared" si="59"/>
        <v>#VALUE!</v>
      </c>
      <c r="P219" s="33" t="e">
        <f t="shared" si="60"/>
        <v>#VALUE!</v>
      </c>
      <c r="Q219" t="e">
        <f t="shared" si="61"/>
        <v>#VALUE!</v>
      </c>
    </row>
    <row r="220" spans="1:17" x14ac:dyDescent="0.15">
      <c r="A220" s="30">
        <v>99144610</v>
      </c>
      <c r="C220" s="42" t="e">
        <f t="shared" si="52"/>
        <v>#VALUE!</v>
      </c>
      <c r="D220" s="42" t="e">
        <f t="shared" si="53"/>
        <v>#VALUE!</v>
      </c>
      <c r="E220" s="49" t="e">
        <f t="shared" si="54"/>
        <v>#VALUE!</v>
      </c>
      <c r="F220" s="30" t="e">
        <f t="shared" si="47"/>
        <v>#VALUE!</v>
      </c>
      <c r="G220" s="49" t="e">
        <f t="shared" si="55"/>
        <v>#VALUE!</v>
      </c>
      <c r="H220" s="30" t="e">
        <f t="shared" si="48"/>
        <v>#VALUE!</v>
      </c>
      <c r="I220" s="30" t="e">
        <f t="shared" si="49"/>
        <v>#VALUE!</v>
      </c>
      <c r="J220" s="30" t="e">
        <f t="shared" si="50"/>
        <v>#VALUE!</v>
      </c>
      <c r="K220" s="33" t="e">
        <f t="shared" si="56"/>
        <v>#VALUE!</v>
      </c>
      <c r="L220" s="33" t="e">
        <f t="shared" si="51"/>
        <v>#VALUE!</v>
      </c>
      <c r="M220" s="33" t="e">
        <f t="shared" si="57"/>
        <v>#VALUE!</v>
      </c>
      <c r="N220" s="33" t="e">
        <f t="shared" si="58"/>
        <v>#VALUE!</v>
      </c>
      <c r="O220" s="33" t="e">
        <f t="shared" si="59"/>
        <v>#VALUE!</v>
      </c>
      <c r="P220" s="33" t="e">
        <f t="shared" si="60"/>
        <v>#VALUE!</v>
      </c>
      <c r="Q220" t="e">
        <f t="shared" si="61"/>
        <v>#VALUE!</v>
      </c>
    </row>
    <row r="221" spans="1:17" x14ac:dyDescent="0.15">
      <c r="A221" s="30">
        <v>12026908</v>
      </c>
      <c r="C221" s="42" t="e">
        <f t="shared" si="52"/>
        <v>#VALUE!</v>
      </c>
      <c r="D221" s="42" t="e">
        <f t="shared" si="53"/>
        <v>#VALUE!</v>
      </c>
      <c r="E221" s="49" t="e">
        <f t="shared" si="54"/>
        <v>#VALUE!</v>
      </c>
      <c r="F221" s="30" t="e">
        <f t="shared" si="47"/>
        <v>#VALUE!</v>
      </c>
      <c r="G221" s="49" t="e">
        <f t="shared" si="55"/>
        <v>#VALUE!</v>
      </c>
      <c r="H221" s="30" t="e">
        <f t="shared" si="48"/>
        <v>#VALUE!</v>
      </c>
      <c r="I221" s="30" t="e">
        <f t="shared" si="49"/>
        <v>#VALUE!</v>
      </c>
      <c r="J221" s="30" t="e">
        <f t="shared" si="50"/>
        <v>#VALUE!</v>
      </c>
      <c r="K221" s="33" t="e">
        <f t="shared" si="56"/>
        <v>#VALUE!</v>
      </c>
      <c r="L221" s="33" t="e">
        <f t="shared" si="51"/>
        <v>#VALUE!</v>
      </c>
      <c r="M221" s="33" t="e">
        <f t="shared" si="57"/>
        <v>#VALUE!</v>
      </c>
      <c r="N221" s="33" t="e">
        <f t="shared" si="58"/>
        <v>#VALUE!</v>
      </c>
      <c r="O221" s="33" t="e">
        <f t="shared" si="59"/>
        <v>#VALUE!</v>
      </c>
      <c r="P221" s="33" t="e">
        <f t="shared" si="60"/>
        <v>#VALUE!</v>
      </c>
      <c r="Q221" t="e">
        <f t="shared" si="61"/>
        <v>#VALUE!</v>
      </c>
    </row>
    <row r="222" spans="1:17" x14ac:dyDescent="0.15">
      <c r="A222" s="30">
        <v>12599080</v>
      </c>
      <c r="C222" s="42" t="e">
        <f t="shared" si="52"/>
        <v>#VALUE!</v>
      </c>
      <c r="D222" s="42" t="e">
        <f t="shared" si="53"/>
        <v>#VALUE!</v>
      </c>
      <c r="E222" s="49" t="e">
        <f t="shared" si="54"/>
        <v>#VALUE!</v>
      </c>
      <c r="F222" s="30" t="e">
        <f t="shared" si="47"/>
        <v>#VALUE!</v>
      </c>
      <c r="G222" s="49" t="e">
        <f t="shared" si="55"/>
        <v>#VALUE!</v>
      </c>
      <c r="H222" s="30" t="e">
        <f t="shared" si="48"/>
        <v>#VALUE!</v>
      </c>
      <c r="I222" s="30" t="e">
        <f t="shared" si="49"/>
        <v>#VALUE!</v>
      </c>
      <c r="J222" s="30" t="e">
        <f t="shared" si="50"/>
        <v>#VALUE!</v>
      </c>
      <c r="K222" s="33" t="e">
        <f t="shared" si="56"/>
        <v>#VALUE!</v>
      </c>
      <c r="L222" s="33" t="e">
        <f t="shared" si="51"/>
        <v>#VALUE!</v>
      </c>
      <c r="M222" s="33" t="e">
        <f t="shared" si="57"/>
        <v>#VALUE!</v>
      </c>
      <c r="N222" s="33" t="e">
        <f t="shared" si="58"/>
        <v>#VALUE!</v>
      </c>
      <c r="O222" s="33" t="e">
        <f t="shared" si="59"/>
        <v>#VALUE!</v>
      </c>
      <c r="P222" s="33" t="e">
        <f t="shared" si="60"/>
        <v>#VALUE!</v>
      </c>
      <c r="Q222" t="e">
        <f t="shared" si="61"/>
        <v>#VALUE!</v>
      </c>
    </row>
    <row r="223" spans="1:17" x14ac:dyDescent="0.15">
      <c r="A223" s="30">
        <v>12125441</v>
      </c>
      <c r="C223" s="42" t="e">
        <f t="shared" si="52"/>
        <v>#VALUE!</v>
      </c>
      <c r="D223" s="42" t="e">
        <f t="shared" si="53"/>
        <v>#VALUE!</v>
      </c>
      <c r="E223" s="49" t="e">
        <f t="shared" si="54"/>
        <v>#VALUE!</v>
      </c>
      <c r="F223" s="30" t="e">
        <f t="shared" si="47"/>
        <v>#VALUE!</v>
      </c>
      <c r="G223" s="49" t="e">
        <f t="shared" si="55"/>
        <v>#VALUE!</v>
      </c>
      <c r="H223" s="30" t="e">
        <f t="shared" si="48"/>
        <v>#VALUE!</v>
      </c>
      <c r="I223" s="30" t="e">
        <f t="shared" si="49"/>
        <v>#VALUE!</v>
      </c>
      <c r="J223" s="30" t="e">
        <f t="shared" si="50"/>
        <v>#VALUE!</v>
      </c>
      <c r="K223" s="33" t="e">
        <f t="shared" si="56"/>
        <v>#VALUE!</v>
      </c>
      <c r="L223" s="33" t="e">
        <f t="shared" si="51"/>
        <v>#VALUE!</v>
      </c>
      <c r="M223" s="33" t="e">
        <f t="shared" si="57"/>
        <v>#VALUE!</v>
      </c>
      <c r="N223" s="33" t="e">
        <f t="shared" si="58"/>
        <v>#VALUE!</v>
      </c>
      <c r="O223" s="33" t="e">
        <f t="shared" si="59"/>
        <v>#VALUE!</v>
      </c>
      <c r="P223" s="33" t="e">
        <f t="shared" si="60"/>
        <v>#VALUE!</v>
      </c>
      <c r="Q223" t="e">
        <f t="shared" si="61"/>
        <v>#VALUE!</v>
      </c>
    </row>
    <row r="224" spans="1:17" x14ac:dyDescent="0.15">
      <c r="A224" s="30">
        <v>12437137</v>
      </c>
      <c r="C224" s="42" t="e">
        <f t="shared" si="52"/>
        <v>#VALUE!</v>
      </c>
      <c r="D224" s="42" t="e">
        <f t="shared" si="53"/>
        <v>#VALUE!</v>
      </c>
      <c r="E224" s="49" t="e">
        <f t="shared" si="54"/>
        <v>#VALUE!</v>
      </c>
      <c r="F224" s="30" t="e">
        <f t="shared" si="47"/>
        <v>#VALUE!</v>
      </c>
      <c r="G224" s="49" t="e">
        <f t="shared" si="55"/>
        <v>#VALUE!</v>
      </c>
      <c r="H224" s="30" t="e">
        <f t="shared" si="48"/>
        <v>#VALUE!</v>
      </c>
      <c r="I224" s="30" t="e">
        <f t="shared" si="49"/>
        <v>#VALUE!</v>
      </c>
      <c r="J224" s="30" t="e">
        <f t="shared" si="50"/>
        <v>#VALUE!</v>
      </c>
      <c r="K224" s="33" t="e">
        <f t="shared" si="56"/>
        <v>#VALUE!</v>
      </c>
      <c r="L224" s="33" t="e">
        <f t="shared" si="51"/>
        <v>#VALUE!</v>
      </c>
      <c r="M224" s="33" t="e">
        <f t="shared" si="57"/>
        <v>#VALUE!</v>
      </c>
      <c r="N224" s="33" t="e">
        <f t="shared" si="58"/>
        <v>#VALUE!</v>
      </c>
      <c r="O224" s="33" t="e">
        <f t="shared" si="59"/>
        <v>#VALUE!</v>
      </c>
      <c r="P224" s="33" t="e">
        <f t="shared" si="60"/>
        <v>#VALUE!</v>
      </c>
      <c r="Q224" t="e">
        <f t="shared" si="61"/>
        <v>#VALUE!</v>
      </c>
    </row>
    <row r="225" spans="1:17" x14ac:dyDescent="0.15">
      <c r="A225" s="30">
        <v>11497551</v>
      </c>
      <c r="C225" s="42" t="e">
        <f t="shared" si="52"/>
        <v>#VALUE!</v>
      </c>
      <c r="D225" s="42" t="e">
        <f t="shared" si="53"/>
        <v>#VALUE!</v>
      </c>
      <c r="E225" s="49" t="e">
        <f t="shared" si="54"/>
        <v>#VALUE!</v>
      </c>
      <c r="F225" s="30" t="e">
        <f t="shared" si="47"/>
        <v>#VALUE!</v>
      </c>
      <c r="G225" s="49" t="e">
        <f t="shared" si="55"/>
        <v>#VALUE!</v>
      </c>
      <c r="H225" s="30" t="e">
        <f t="shared" si="48"/>
        <v>#VALUE!</v>
      </c>
      <c r="I225" s="30" t="e">
        <f t="shared" si="49"/>
        <v>#VALUE!</v>
      </c>
      <c r="J225" s="30" t="e">
        <f t="shared" si="50"/>
        <v>#VALUE!</v>
      </c>
      <c r="K225" s="33" t="e">
        <f t="shared" si="56"/>
        <v>#VALUE!</v>
      </c>
      <c r="L225" s="33" t="e">
        <f t="shared" si="51"/>
        <v>#VALUE!</v>
      </c>
      <c r="M225" s="33" t="e">
        <f t="shared" si="57"/>
        <v>#VALUE!</v>
      </c>
      <c r="N225" s="33" t="e">
        <f t="shared" si="58"/>
        <v>#VALUE!</v>
      </c>
      <c r="O225" s="33" t="e">
        <f t="shared" si="59"/>
        <v>#VALUE!</v>
      </c>
      <c r="P225" s="33" t="e">
        <f t="shared" si="60"/>
        <v>#VALUE!</v>
      </c>
      <c r="Q225" t="e">
        <f t="shared" si="61"/>
        <v>#VALUE!</v>
      </c>
    </row>
    <row r="226" spans="1:17" x14ac:dyDescent="0.15">
      <c r="A226" s="30">
        <v>12923583</v>
      </c>
      <c r="C226" s="42" t="e">
        <f t="shared" si="52"/>
        <v>#VALUE!</v>
      </c>
      <c r="D226" s="42" t="e">
        <f t="shared" si="53"/>
        <v>#VALUE!</v>
      </c>
      <c r="E226" s="49" t="e">
        <f t="shared" si="54"/>
        <v>#VALUE!</v>
      </c>
      <c r="F226" s="30" t="e">
        <f t="shared" si="47"/>
        <v>#VALUE!</v>
      </c>
      <c r="G226" s="49" t="e">
        <f t="shared" si="55"/>
        <v>#VALUE!</v>
      </c>
      <c r="H226" s="30" t="e">
        <f t="shared" si="48"/>
        <v>#VALUE!</v>
      </c>
      <c r="I226" s="30" t="e">
        <f t="shared" si="49"/>
        <v>#VALUE!</v>
      </c>
      <c r="J226" s="30" t="e">
        <f t="shared" si="50"/>
        <v>#VALUE!</v>
      </c>
      <c r="K226" s="33" t="e">
        <f t="shared" si="56"/>
        <v>#VALUE!</v>
      </c>
      <c r="L226" s="33" t="e">
        <f t="shared" si="51"/>
        <v>#VALUE!</v>
      </c>
      <c r="M226" s="33" t="e">
        <f t="shared" si="57"/>
        <v>#VALUE!</v>
      </c>
      <c r="N226" s="33" t="e">
        <f t="shared" si="58"/>
        <v>#VALUE!</v>
      </c>
      <c r="O226" s="33" t="e">
        <f t="shared" si="59"/>
        <v>#VALUE!</v>
      </c>
      <c r="P226" s="33" t="e">
        <f t="shared" si="60"/>
        <v>#VALUE!</v>
      </c>
      <c r="Q226" t="e">
        <f t="shared" si="61"/>
        <v>#VALUE!</v>
      </c>
    </row>
    <row r="227" spans="1:17" x14ac:dyDescent="0.15">
      <c r="A227" s="30">
        <v>11219387</v>
      </c>
      <c r="C227" s="42" t="e">
        <f t="shared" si="52"/>
        <v>#VALUE!</v>
      </c>
      <c r="D227" s="42" t="e">
        <f t="shared" si="53"/>
        <v>#VALUE!</v>
      </c>
      <c r="E227" s="49" t="e">
        <f t="shared" si="54"/>
        <v>#VALUE!</v>
      </c>
      <c r="F227" s="30" t="e">
        <f t="shared" si="47"/>
        <v>#VALUE!</v>
      </c>
      <c r="G227" s="49" t="e">
        <f t="shared" si="55"/>
        <v>#VALUE!</v>
      </c>
      <c r="H227" s="30" t="e">
        <f t="shared" si="48"/>
        <v>#VALUE!</v>
      </c>
      <c r="I227" s="30" t="e">
        <f t="shared" si="49"/>
        <v>#VALUE!</v>
      </c>
      <c r="J227" s="30" t="e">
        <f t="shared" si="50"/>
        <v>#VALUE!</v>
      </c>
      <c r="K227" s="33" t="e">
        <f t="shared" si="56"/>
        <v>#VALUE!</v>
      </c>
      <c r="L227" s="33" t="e">
        <f t="shared" si="51"/>
        <v>#VALUE!</v>
      </c>
      <c r="M227" s="33" t="e">
        <f t="shared" si="57"/>
        <v>#VALUE!</v>
      </c>
      <c r="N227" s="33" t="e">
        <f t="shared" si="58"/>
        <v>#VALUE!</v>
      </c>
      <c r="O227" s="33" t="e">
        <f t="shared" si="59"/>
        <v>#VALUE!</v>
      </c>
      <c r="P227" s="33" t="e">
        <f t="shared" si="60"/>
        <v>#VALUE!</v>
      </c>
      <c r="Q227" t="e">
        <f t="shared" si="61"/>
        <v>#VALUE!</v>
      </c>
    </row>
    <row r="228" spans="1:17" x14ac:dyDescent="0.15">
      <c r="A228" s="30">
        <v>12144200</v>
      </c>
      <c r="C228" s="42" t="e">
        <f t="shared" si="52"/>
        <v>#VALUE!</v>
      </c>
      <c r="D228" s="42" t="e">
        <f t="shared" si="53"/>
        <v>#VALUE!</v>
      </c>
      <c r="E228" s="49" t="e">
        <f t="shared" si="54"/>
        <v>#VALUE!</v>
      </c>
      <c r="F228" s="30" t="e">
        <f t="shared" si="47"/>
        <v>#VALUE!</v>
      </c>
      <c r="G228" s="49" t="e">
        <f t="shared" si="55"/>
        <v>#VALUE!</v>
      </c>
      <c r="H228" s="30" t="e">
        <f t="shared" si="48"/>
        <v>#VALUE!</v>
      </c>
      <c r="I228" s="30" t="e">
        <f t="shared" si="49"/>
        <v>#VALUE!</v>
      </c>
      <c r="J228" s="30" t="e">
        <f t="shared" si="50"/>
        <v>#VALUE!</v>
      </c>
      <c r="K228" s="33" t="e">
        <f t="shared" si="56"/>
        <v>#VALUE!</v>
      </c>
      <c r="L228" s="33" t="e">
        <f t="shared" si="51"/>
        <v>#VALUE!</v>
      </c>
      <c r="M228" s="33" t="e">
        <f t="shared" si="57"/>
        <v>#VALUE!</v>
      </c>
      <c r="N228" s="33" t="e">
        <f t="shared" si="58"/>
        <v>#VALUE!</v>
      </c>
      <c r="O228" s="33" t="e">
        <f t="shared" si="59"/>
        <v>#VALUE!</v>
      </c>
      <c r="P228" s="33" t="e">
        <f t="shared" si="60"/>
        <v>#VALUE!</v>
      </c>
      <c r="Q228" t="e">
        <f t="shared" si="61"/>
        <v>#VALUE!</v>
      </c>
    </row>
    <row r="229" spans="1:17" x14ac:dyDescent="0.15">
      <c r="A229" s="30">
        <v>12207813</v>
      </c>
      <c r="C229" s="42" t="e">
        <f t="shared" si="52"/>
        <v>#VALUE!</v>
      </c>
      <c r="D229" s="42" t="e">
        <f t="shared" si="53"/>
        <v>#VALUE!</v>
      </c>
      <c r="E229" s="49" t="e">
        <f t="shared" si="54"/>
        <v>#VALUE!</v>
      </c>
      <c r="F229" s="30" t="e">
        <f t="shared" si="47"/>
        <v>#VALUE!</v>
      </c>
      <c r="G229" s="49" t="e">
        <f t="shared" si="55"/>
        <v>#VALUE!</v>
      </c>
      <c r="H229" s="30" t="e">
        <f t="shared" si="48"/>
        <v>#VALUE!</v>
      </c>
      <c r="I229" s="30" t="e">
        <f t="shared" si="49"/>
        <v>#VALUE!</v>
      </c>
      <c r="J229" s="30" t="e">
        <f t="shared" si="50"/>
        <v>#VALUE!</v>
      </c>
      <c r="K229" s="33" t="e">
        <f t="shared" si="56"/>
        <v>#VALUE!</v>
      </c>
      <c r="L229" s="33" t="e">
        <f t="shared" si="51"/>
        <v>#VALUE!</v>
      </c>
      <c r="M229" s="33" t="e">
        <f t="shared" si="57"/>
        <v>#VALUE!</v>
      </c>
      <c r="N229" s="33" t="e">
        <f t="shared" si="58"/>
        <v>#VALUE!</v>
      </c>
      <c r="O229" s="33" t="e">
        <f t="shared" si="59"/>
        <v>#VALUE!</v>
      </c>
      <c r="P229" s="33" t="e">
        <f t="shared" si="60"/>
        <v>#VALUE!</v>
      </c>
      <c r="Q229" t="e">
        <f t="shared" si="61"/>
        <v>#VALUE!</v>
      </c>
    </row>
    <row r="230" spans="1:17" x14ac:dyDescent="0.15">
      <c r="A230" s="30">
        <v>12605566</v>
      </c>
      <c r="C230" s="42" t="e">
        <f t="shared" si="52"/>
        <v>#VALUE!</v>
      </c>
      <c r="D230" s="42" t="e">
        <f t="shared" si="53"/>
        <v>#VALUE!</v>
      </c>
      <c r="E230" s="49" t="e">
        <f t="shared" si="54"/>
        <v>#VALUE!</v>
      </c>
      <c r="F230" s="30" t="e">
        <f t="shared" si="47"/>
        <v>#VALUE!</v>
      </c>
      <c r="G230" s="49" t="e">
        <f t="shared" si="55"/>
        <v>#VALUE!</v>
      </c>
      <c r="H230" s="30" t="e">
        <f t="shared" si="48"/>
        <v>#VALUE!</v>
      </c>
      <c r="I230" s="30" t="e">
        <f t="shared" si="49"/>
        <v>#VALUE!</v>
      </c>
      <c r="J230" s="30" t="e">
        <f t="shared" si="50"/>
        <v>#VALUE!</v>
      </c>
      <c r="K230" s="33" t="e">
        <f t="shared" si="56"/>
        <v>#VALUE!</v>
      </c>
      <c r="L230" s="33" t="e">
        <f t="shared" si="51"/>
        <v>#VALUE!</v>
      </c>
      <c r="M230" s="33" t="e">
        <f t="shared" si="57"/>
        <v>#VALUE!</v>
      </c>
      <c r="N230" s="33" t="e">
        <f t="shared" si="58"/>
        <v>#VALUE!</v>
      </c>
      <c r="O230" s="33" t="e">
        <f t="shared" si="59"/>
        <v>#VALUE!</v>
      </c>
      <c r="P230" s="33" t="e">
        <f t="shared" si="60"/>
        <v>#VALUE!</v>
      </c>
      <c r="Q230" t="e">
        <f t="shared" si="61"/>
        <v>#VALUE!</v>
      </c>
    </row>
    <row r="231" spans="1:17" x14ac:dyDescent="0.15">
      <c r="A231" s="30">
        <v>12199182</v>
      </c>
      <c r="C231" s="42" t="e">
        <f t="shared" si="52"/>
        <v>#VALUE!</v>
      </c>
      <c r="D231" s="42" t="e">
        <f t="shared" si="53"/>
        <v>#VALUE!</v>
      </c>
      <c r="E231" s="49" t="e">
        <f t="shared" si="54"/>
        <v>#VALUE!</v>
      </c>
      <c r="F231" s="30" t="e">
        <f t="shared" si="47"/>
        <v>#VALUE!</v>
      </c>
      <c r="G231" s="49" t="e">
        <f t="shared" si="55"/>
        <v>#VALUE!</v>
      </c>
      <c r="H231" s="30" t="e">
        <f t="shared" si="48"/>
        <v>#VALUE!</v>
      </c>
      <c r="I231" s="30" t="e">
        <f t="shared" si="49"/>
        <v>#VALUE!</v>
      </c>
      <c r="J231" s="30" t="e">
        <f t="shared" si="50"/>
        <v>#VALUE!</v>
      </c>
      <c r="K231" s="33" t="e">
        <f t="shared" si="56"/>
        <v>#VALUE!</v>
      </c>
      <c r="L231" s="33" t="e">
        <f t="shared" si="51"/>
        <v>#VALUE!</v>
      </c>
      <c r="M231" s="33" t="e">
        <f t="shared" si="57"/>
        <v>#VALUE!</v>
      </c>
      <c r="N231" s="33" t="e">
        <f t="shared" si="58"/>
        <v>#VALUE!</v>
      </c>
      <c r="O231" s="33" t="e">
        <f t="shared" si="59"/>
        <v>#VALUE!</v>
      </c>
      <c r="P231" s="33" t="e">
        <f t="shared" si="60"/>
        <v>#VALUE!</v>
      </c>
      <c r="Q231" t="e">
        <f t="shared" si="61"/>
        <v>#VALUE!</v>
      </c>
    </row>
    <row r="232" spans="1:17" x14ac:dyDescent="0.15">
      <c r="A232" s="30">
        <v>11521438</v>
      </c>
      <c r="C232" s="42" t="e">
        <f t="shared" si="52"/>
        <v>#VALUE!</v>
      </c>
      <c r="D232" s="42" t="e">
        <f t="shared" si="53"/>
        <v>#VALUE!</v>
      </c>
      <c r="E232" s="49" t="e">
        <f t="shared" si="54"/>
        <v>#VALUE!</v>
      </c>
      <c r="F232" s="30" t="e">
        <f t="shared" si="47"/>
        <v>#VALUE!</v>
      </c>
      <c r="G232" s="49" t="e">
        <f t="shared" si="55"/>
        <v>#VALUE!</v>
      </c>
      <c r="H232" s="30" t="e">
        <f t="shared" si="48"/>
        <v>#VALUE!</v>
      </c>
      <c r="I232" s="30" t="e">
        <f t="shared" si="49"/>
        <v>#VALUE!</v>
      </c>
      <c r="J232" s="30" t="e">
        <f t="shared" si="50"/>
        <v>#VALUE!</v>
      </c>
      <c r="K232" s="33" t="e">
        <f t="shared" si="56"/>
        <v>#VALUE!</v>
      </c>
      <c r="L232" s="33" t="e">
        <f t="shared" si="51"/>
        <v>#VALUE!</v>
      </c>
      <c r="M232" s="33" t="e">
        <f t="shared" si="57"/>
        <v>#VALUE!</v>
      </c>
      <c r="N232" s="33" t="e">
        <f t="shared" si="58"/>
        <v>#VALUE!</v>
      </c>
      <c r="O232" s="33" t="e">
        <f t="shared" si="59"/>
        <v>#VALUE!</v>
      </c>
      <c r="P232" s="33" t="e">
        <f t="shared" si="60"/>
        <v>#VALUE!</v>
      </c>
      <c r="Q232" t="e">
        <f t="shared" si="61"/>
        <v>#VALUE!</v>
      </c>
    </row>
    <row r="233" spans="1:17" x14ac:dyDescent="0.15">
      <c r="A233" s="30">
        <v>11813906</v>
      </c>
      <c r="C233" s="42" t="e">
        <f t="shared" si="52"/>
        <v>#VALUE!</v>
      </c>
      <c r="D233" s="42" t="e">
        <f t="shared" si="53"/>
        <v>#VALUE!</v>
      </c>
      <c r="E233" s="49" t="e">
        <f t="shared" si="54"/>
        <v>#VALUE!</v>
      </c>
      <c r="F233" s="30" t="e">
        <f t="shared" si="47"/>
        <v>#VALUE!</v>
      </c>
      <c r="G233" s="49" t="e">
        <f t="shared" si="55"/>
        <v>#VALUE!</v>
      </c>
      <c r="H233" s="30" t="e">
        <f t="shared" si="48"/>
        <v>#VALUE!</v>
      </c>
      <c r="I233" s="30" t="e">
        <f t="shared" si="49"/>
        <v>#VALUE!</v>
      </c>
      <c r="J233" s="30" t="e">
        <f t="shared" si="50"/>
        <v>#VALUE!</v>
      </c>
      <c r="K233" s="33" t="e">
        <f t="shared" si="56"/>
        <v>#VALUE!</v>
      </c>
      <c r="L233" s="33" t="e">
        <f t="shared" si="51"/>
        <v>#VALUE!</v>
      </c>
      <c r="M233" s="33" t="e">
        <f t="shared" si="57"/>
        <v>#VALUE!</v>
      </c>
      <c r="N233" s="33" t="e">
        <f t="shared" si="58"/>
        <v>#VALUE!</v>
      </c>
      <c r="O233" s="33" t="e">
        <f t="shared" si="59"/>
        <v>#VALUE!</v>
      </c>
      <c r="P233" s="33" t="e">
        <f t="shared" si="60"/>
        <v>#VALUE!</v>
      </c>
      <c r="Q233" t="e">
        <f t="shared" si="61"/>
        <v>#VALUE!</v>
      </c>
    </row>
  </sheetData>
  <sheetProtection algorithmName="SHA-512" hashValue="hlq4Mzly7fwbHOYsT5l0fncEbChlqoZHzrVHdCJ3LLQRU67izhrpFH/egn7G4SOhJal2W/WvgFtthUSqLPj8Vg==" saltValue="qeg5SJmbZZK7OFqMI3bNyg==" spinCount="100000" sheet="1" objects="1" scenarios="1"/>
  <autoFilter ref="A3:P233" xr:uid="{00000000-0009-0000-0000-000003000000}"/>
  <mergeCells count="1">
    <mergeCell ref="R4:X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Title page</vt:lpstr>
      <vt:lpstr>eTask 4.1</vt:lpstr>
      <vt:lpstr>eTask 4.2</vt:lpstr>
      <vt:lpstr>eTask 1.2-Testing</vt:lpstr>
      <vt:lpstr>G_Name</vt:lpstr>
      <vt:lpstr>S_Id</vt:lpstr>
    </vt:vector>
  </TitlesOfParts>
  <Company>Faculty of Engineering, UTS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</dc:creator>
  <cp:lastModifiedBy>Marco Arcidiacono</cp:lastModifiedBy>
  <cp:lastPrinted>2017-07-26T03:51:16Z</cp:lastPrinted>
  <dcterms:created xsi:type="dcterms:W3CDTF">2011-05-21T02:52:06Z</dcterms:created>
  <dcterms:modified xsi:type="dcterms:W3CDTF">2024-05-02T11:47:34Z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a4f0713-8a76-46fc-9033-3e1b6c45971d_Enabled">
    <vt:lpwstr>true</vt:lpwstr>
  </property>
  <property fmtid="{D5CDD505-2E9C-101B-9397-08002B2CF9AE}" pid="3" name="MSIP_Label_ba4f0713-8a76-46fc-9033-3e1b6c45971d_SetDate">
    <vt:lpwstr>2022-02-13T23:46:20Z</vt:lpwstr>
  </property>
  <property fmtid="{D5CDD505-2E9C-101B-9397-08002B2CF9AE}" pid="4" name="MSIP_Label_ba4f0713-8a76-46fc-9033-3e1b6c45971d_Method">
    <vt:lpwstr>Privileged</vt:lpwstr>
  </property>
  <property fmtid="{D5CDD505-2E9C-101B-9397-08002B2CF9AE}" pid="5" name="MSIP_Label_ba4f0713-8a76-46fc-9033-3e1b6c45971d_Name">
    <vt:lpwstr>UTS-Public</vt:lpwstr>
  </property>
  <property fmtid="{D5CDD505-2E9C-101B-9397-08002B2CF9AE}" pid="6" name="MSIP_Label_ba4f0713-8a76-46fc-9033-3e1b6c45971d_SiteId">
    <vt:lpwstr>e8911c26-cf9f-4a9c-878e-527807be8791</vt:lpwstr>
  </property>
  <property fmtid="{D5CDD505-2E9C-101B-9397-08002B2CF9AE}" pid="7" name="MSIP_Label_ba4f0713-8a76-46fc-9033-3e1b6c45971d_ActionId">
    <vt:lpwstr>ea16ca6c-4294-4cbb-b439-71004402ff0a</vt:lpwstr>
  </property>
  <property fmtid="{D5CDD505-2E9C-101B-9397-08002B2CF9AE}" pid="8" name="MSIP_Label_ba4f0713-8a76-46fc-9033-3e1b6c45971d_ContentBits">
    <vt:lpwstr>0</vt:lpwstr>
  </property>
</Properties>
</file>